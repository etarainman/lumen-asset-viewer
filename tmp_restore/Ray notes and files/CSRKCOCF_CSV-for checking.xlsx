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 Henry\.gemini\antigravity\lumen-asset-viewer\Ray notes and files\"/>
    </mc:Choice>
  </mc:AlternateContent>
  <xr:revisionPtr revIDLastSave="0" documentId="13_ncr:9_{A68563B4-A39B-4505-82DE-567B9EE6CA33}" xr6:coauthVersionLast="47" xr6:coauthVersionMax="47" xr10:uidLastSave="{00000000-0000-0000-0000-000000000000}"/>
  <bookViews>
    <workbookView xWindow="-108" yWindow="-108" windowWidth="23256" windowHeight="12456" activeTab="1" xr2:uid="{BDBA48C9-3484-40BE-B7BE-22DB35728FC0}"/>
  </bookViews>
  <sheets>
    <sheet name="CSRKCOCF_CSV" sheetId="1" r:id="rId1"/>
    <sheet name="Sheet1" sheetId="2" r:id="rId2"/>
  </sheets>
  <definedNames>
    <definedName name="_xlnm._FilterDatabase" localSheetId="0" hidden="1">CSRKCOCF_CSV!$A$1:$Z$63</definedName>
  </definedNames>
  <calcPr calcId="0"/>
</workbook>
</file>

<file path=xl/calcChain.xml><?xml version="1.0" encoding="utf-8"?>
<calcChain xmlns="http://schemas.openxmlformats.org/spreadsheetml/2006/main">
  <c r="I71" i="1" l="1"/>
  <c r="D1" i="2" a="1"/>
  <c r="D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<sst xmlns="http://schemas.openxmlformats.org/spreadsheetml/2006/main" count="611" uniqueCount="162">
  <si>
    <t>STATE</t>
  </si>
  <si>
    <t>CITY</t>
  </si>
  <si>
    <t>CLLI</t>
  </si>
  <si>
    <t>RACK ID</t>
  </si>
  <si>
    <t>BAY NAME</t>
  </si>
  <si>
    <t>BAY</t>
  </si>
  <si>
    <t>RACK</t>
  </si>
  <si>
    <t>CHASSIS</t>
  </si>
  <si>
    <t>USAGE</t>
  </si>
  <si>
    <t>FULL RACK NAME</t>
  </si>
  <si>
    <t>RACK STATUS</t>
  </si>
  <si>
    <t>RACK CREATED</t>
  </si>
  <si>
    <t>RACK MODIFIED</t>
  </si>
  <si>
    <t>EQUIPMENT NAME</t>
  </si>
  <si>
    <t>EQPT STATUS</t>
  </si>
  <si>
    <t>EQPT-W</t>
  </si>
  <si>
    <t>EQPT-H</t>
  </si>
  <si>
    <t>EQPT-D</t>
  </si>
  <si>
    <t>EQPT CREATED</t>
  </si>
  <si>
    <t>EQPT MODIFIED</t>
  </si>
  <si>
    <t>RACK-W</t>
  </si>
  <si>
    <t>RACK-H</t>
  </si>
  <si>
    <t>RACK-D</t>
  </si>
  <si>
    <t>EQPT_ID</t>
  </si>
  <si>
    <t>SOURCE SYSTEM</t>
  </si>
  <si>
    <t>CO</t>
  </si>
  <si>
    <t>CASTLE ROCK</t>
  </si>
  <si>
    <t>CSRKCOCF</t>
  </si>
  <si>
    <t>CSRKCOCF.001.0000..001.001</t>
  </si>
  <si>
    <t>FACILITY</t>
  </si>
  <si>
    <t>CSRKCOCF.001.0000..001.003</t>
  </si>
  <si>
    <t>CSRKCOCF.001.0000..002.001</t>
  </si>
  <si>
    <t>CUSTOMER</t>
  </si>
  <si>
    <t>CSRKCOCF.001.0001..001.001</t>
  </si>
  <si>
    <t>CSRKCOCF.001.0001..001.001.FR</t>
  </si>
  <si>
    <t>7/26/2023 5:08:16 PM</t>
  </si>
  <si>
    <t>CSRKCOCF.OSPOCP.001.0001..001.001.8</t>
  </si>
  <si>
    <t>IN SERVICE</t>
  </si>
  <si>
    <t>6/26/2019 7:05:17 PM</t>
  </si>
  <si>
    <t>7/26/2023 5:08:17 PM</t>
  </si>
  <si>
    <t>GRANITE</t>
  </si>
  <si>
    <t>CSRKCOCF.OSPOCP.001.0001..001.001.41</t>
  </si>
  <si>
    <t>6/26/2019 7:05:24 PM</t>
  </si>
  <si>
    <t>CSRKCOCF.001.0001..001.002</t>
  </si>
  <si>
    <t>CSRKCOCF.001.0001..001.002.FR</t>
  </si>
  <si>
    <t>CSRKCOCF.OSPFDP.001.0001..001.002.2</t>
  </si>
  <si>
    <t>CSRKCOCF.001.0001..001.003</t>
  </si>
  <si>
    <t>CSRKCOCF.001.0001..001.003.FR</t>
  </si>
  <si>
    <t>CSRKCOCF.OSPFDP.001.0001..001.003.1</t>
  </si>
  <si>
    <t>11/13/2019 10:21:11 PM</t>
  </si>
  <si>
    <t>CSRKCOCF.OSPFDP.001.0001..001.003.11</t>
  </si>
  <si>
    <t>CSRKCOCF.001.0001..001.004</t>
  </si>
  <si>
    <t>CSRKCOCF.001.0001..001.004.FR</t>
  </si>
  <si>
    <t>CSRKCOCF.OSPFDP.001.0001..001.004.1</t>
  </si>
  <si>
    <t>CSRKCOCF.001.0001..001.005</t>
  </si>
  <si>
    <t>CSRKCOCF.001.0001..001.005.FR</t>
  </si>
  <si>
    <t>CSRKCOCF.OSPFDP.001.0001..001.005.2</t>
  </si>
  <si>
    <t>CSRKCOCF.001.0001..002.001</t>
  </si>
  <si>
    <t>CSRKCOCF.001.0001..002.001.FR</t>
  </si>
  <si>
    <t>CSRKCOCF.001.0001..002.002</t>
  </si>
  <si>
    <t>CSRKCOCF.001.0001..002.002.FR</t>
  </si>
  <si>
    <t>CSRKCOCF.CIENA.6500.00001.SHELF-1</t>
  </si>
  <si>
    <t>CSRKCOCF.001.0001..005.001</t>
  </si>
  <si>
    <t>CSRKCOCF.001.0001..005.001.FR</t>
  </si>
  <si>
    <t>7/30/2025 2:59:14 PM</t>
  </si>
  <si>
    <t>CSRKCOCF.OSPOSX.001.0001..005.001.19</t>
  </si>
  <si>
    <t>7/30/2025 2:59:37 PM</t>
  </si>
  <si>
    <t>CSRKCOCF.OSPOSX.001.0001..005.001.25</t>
  </si>
  <si>
    <t>7/30/2025 2:59:59 PM</t>
  </si>
  <si>
    <t>CSRKCOCF.001.0001..005.002</t>
  </si>
  <si>
    <t>CSRKCOCF.001.0001..005.002.FR</t>
  </si>
  <si>
    <t>7/30/2025 2:59:13 PM</t>
  </si>
  <si>
    <t>CSRKCOCF.OSPOSX.001.0001..005.002.19</t>
  </si>
  <si>
    <t>7/30/2025 3:00:21 PM</t>
  </si>
  <si>
    <t>CSRKCOCF.OSPOSX.001.0001..005.002.25</t>
  </si>
  <si>
    <t>7/30/2025 3:00:43 PM</t>
  </si>
  <si>
    <t>CSRKCOCF.001.0001..WMT.001</t>
  </si>
  <si>
    <t>CSRKCOCF.001.0001..WMT.001.FR</t>
  </si>
  <si>
    <t>CSRKCOCF.OSPFDP.001.0001..WMT.001.78</t>
  </si>
  <si>
    <t>CSRKCOCF.OSPFDP.001.0001..WMT.001.79</t>
  </si>
  <si>
    <t>CSRKCOCF.001.0002..R01.001</t>
  </si>
  <si>
    <t>CSRKCOCF.001.0002..R01.001.FR</t>
  </si>
  <si>
    <t>7/26/2023 5:11:08 PM</t>
  </si>
  <si>
    <t>CSRKCOCF.TBDOSX.001.0002..R01.001.1</t>
  </si>
  <si>
    <t>11/17/2012 1:23:46 PM</t>
  </si>
  <si>
    <t>CSRKCOCF.TBDOSX.001.0002..R01.001.5</t>
  </si>
  <si>
    <t>CSRKCOCF.001.0002.003.001.001</t>
  </si>
  <si>
    <t>CSRKCOCF.001.0002.003.001.002</t>
  </si>
  <si>
    <t>CSRKCOCF.001.0002.003.001.003</t>
  </si>
  <si>
    <t>CSRKCOCF.001.0002.003.001.003.FR</t>
  </si>
  <si>
    <t>3/14/2024 2:45:15 PM</t>
  </si>
  <si>
    <t>CSRKCOCF.001.0002.003.002.001</t>
  </si>
  <si>
    <t>CSRKCOCF.001.0002.003.002.002</t>
  </si>
  <si>
    <t>CSRKCOCF.001.0002.003.002.003</t>
  </si>
  <si>
    <t>CSRKCOCF.001.0002.004.402.001</t>
  </si>
  <si>
    <t>CSRKCOCF.001.0002.004.402.001.FR</t>
  </si>
  <si>
    <t>CSRKCOCF.001.0002.004.402.002</t>
  </si>
  <si>
    <t>CSRKCOCF.001.0002.004.402.002.FR</t>
  </si>
  <si>
    <t>CSRKCOCF.001.0002.004.402.003</t>
  </si>
  <si>
    <t>CSRKCOCF.001.0002.004.402.003.FR</t>
  </si>
  <si>
    <t>CSRKCOCF.001.0003.005.001.001</t>
  </si>
  <si>
    <t>CSRKCOCF.001.0003.005.001.001.FR</t>
  </si>
  <si>
    <t>3/20/2024 7:22:55 PM</t>
  </si>
  <si>
    <t>CSRKCOCF.001.0003.005.001.002</t>
  </si>
  <si>
    <t>CSRKCOCF.001.0003.005.001.002.FR</t>
  </si>
  <si>
    <t>CSRKCOCF.001.0003.005.001.003</t>
  </si>
  <si>
    <t>CSRKCOCF.001.0003.005.001.003.FR</t>
  </si>
  <si>
    <t>CSRKCOCF.001.0003.005.001.004</t>
  </si>
  <si>
    <t>CSRKCOCF.001.0003.005.001.004.FR</t>
  </si>
  <si>
    <t>CSRKCOCF.001.0003.005.001.005</t>
  </si>
  <si>
    <t>CSRKCOCF.001.0003.005.001.005.FR</t>
  </si>
  <si>
    <t>CSRKCOCF.001.0003.005.001.006</t>
  </si>
  <si>
    <t>CSRKCOCF.001.0003.005.001.006.FR</t>
  </si>
  <si>
    <t>CSRKCOCF.001.0003.005.001.007</t>
  </si>
  <si>
    <t>CSRKCOCF.001.0003.005.001.007.FR</t>
  </si>
  <si>
    <t>CSRKCOCF.001.0003.005.001.008</t>
  </si>
  <si>
    <t>CSRKCOCF.001.0003.005.001.008.FR</t>
  </si>
  <si>
    <t>CSRKCOCF.001.0003.005.001.009</t>
  </si>
  <si>
    <t>CSRKCOCF.001.0003.005.001.009.FR</t>
  </si>
  <si>
    <t>CSRKCOCF.001.0003.005.001.010</t>
  </si>
  <si>
    <t>CSRKCOCF.001.0003.005.001.010.FR</t>
  </si>
  <si>
    <t>CSRKCOCF.001.0003.005.001.011</t>
  </si>
  <si>
    <t>CSRKCOCF.001.0003.005.001.011.FR</t>
  </si>
  <si>
    <t>CSRKCOCF.001.0003.005.002.001</t>
  </si>
  <si>
    <t>CSRKCOCF.001.0003.005.002.001.FR</t>
  </si>
  <si>
    <t>3/20/2024 7:23:04 PM</t>
  </si>
  <si>
    <t>CSRKCOCF.001.0003.005.002.002</t>
  </si>
  <si>
    <t>CSRKCOCF.001.0003.005.002.002.FR</t>
  </si>
  <si>
    <t>CSRKCOCF.001.0003.005.002.003</t>
  </si>
  <si>
    <t>CSRKCOCF.001.0003.005.002.003.FR</t>
  </si>
  <si>
    <t>CSRKCOCF.001.0003.005.002.004</t>
  </si>
  <si>
    <t>CSRKCOCF.001.0003.005.002.004.FR</t>
  </si>
  <si>
    <t>CSRKCOCF.001.0003.005.002.005</t>
  </si>
  <si>
    <t>CSRKCOCF.001.0003.005.002.005.FR</t>
  </si>
  <si>
    <t>CSRKCOCF.001.0003.005.002.006</t>
  </si>
  <si>
    <t>CSRKCOCF.001.0003.005.002.006.FR</t>
  </si>
  <si>
    <t>CSRKCOCF.001.0003.005.002.007</t>
  </si>
  <si>
    <t>CSRKCOCF.001.0003.005.002.007.FR</t>
  </si>
  <si>
    <t>CSRKCOCF.001.0003.005.002.008</t>
  </si>
  <si>
    <t>CSRKCOCF.001.0003.005.002.008.FR</t>
  </si>
  <si>
    <t>CSRKCOCF.001.0003.005.002.009</t>
  </si>
  <si>
    <t>CSRKCOCF.001.0003.005.002.009.FR</t>
  </si>
  <si>
    <t>CSRKCOCF.001.0003.005.002.010</t>
  </si>
  <si>
    <t>CSRKCOCF.001.0003.005.002.010.FR</t>
  </si>
  <si>
    <t>CSRKCOCF.001.0003.005.002.011</t>
  </si>
  <si>
    <t>CSRKCOCF.001.0003.005.002.011.FR</t>
  </si>
  <si>
    <t>CSRKCOCF.001.0003.005.002.012</t>
  </si>
  <si>
    <t>CSRKCOCF.001.0003.005.002.012.FR</t>
  </si>
  <si>
    <t>CSRKCOCF.001.0004..002.001</t>
  </si>
  <si>
    <t>CSRKCOCF.001.0004..002.002</t>
  </si>
  <si>
    <t>CSRKCOCF.001.0004..002.003</t>
  </si>
  <si>
    <t>CSRKCOCF.001.BLG1..001.002</t>
  </si>
  <si>
    <t>CSRKCOCF.001.BLG1..001.003</t>
  </si>
  <si>
    <t>CSRKCOCF.001.BLG1..001.004</t>
  </si>
  <si>
    <t>CSRKCOCF.001.BLG1..001.005</t>
  </si>
  <si>
    <t>CSRKCOCF.001.BLG1..WMT.001</t>
  </si>
  <si>
    <t>CSRKCOCF.001.BLG3..R01.001</t>
  </si>
  <si>
    <t>CSRKCOCF.FLOOR.0402.01</t>
  </si>
  <si>
    <t>B1</t>
  </si>
  <si>
    <t>B2</t>
  </si>
  <si>
    <t>B3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</si>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</sst>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7495-FAF0-4C55-83E3-EFAA1F828F73}">
  <sheetPr filterMode="1"/>
  <dimension ref="A1:Z71"/>
  <sheetViews>
    <sheetView topLeftCell="J1" workbookViewId="0">
      <selection sqref="A1:AA20"/>
    </sheetView>
  </sheetViews>
  <sheetFormatPr defaultRowHeight="14.4" x14ac:dyDescent="0.3"/>
  <cols>
    <col min="1" max="1" width="6.6640625" bestFit="1" customWidth="1"/>
    <col min="2" max="2" width="8.44140625" bestFit="1" customWidth="1"/>
    <col min="3" max="3" width="12.109375" bestFit="1" customWidth="1"/>
    <col min="4" max="4" width="10.109375" bestFit="1" customWidth="1"/>
    <col min="5" max="5" width="10.44140625" bestFit="1" customWidth="1"/>
    <col min="6" max="6" width="29.33203125" bestFit="1" customWidth="1"/>
    <col min="11" max="11" width="32.109375" bestFit="1" customWidth="1"/>
  </cols>
  <sheetData>
    <row r="1" spans="1:26" s="3" customFormat="1" x14ac:dyDescent="0.3">
      <c r="A1" s="3" t="s">
        <v>161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idden="1" x14ac:dyDescent="0.3">
      <c r="A2">
        <v>1</v>
      </c>
      <c r="B2" t="s">
        <v>25</v>
      </c>
      <c r="C2" t="s">
        <v>26</v>
      </c>
      <c r="D2" t="s">
        <v>27</v>
      </c>
      <c r="F2" t="s">
        <v>28</v>
      </c>
      <c r="G2" t="s">
        <v>5</v>
      </c>
      <c r="J2" t="s">
        <v>29</v>
      </c>
    </row>
    <row r="3" spans="1:26" hidden="1" x14ac:dyDescent="0.3">
      <c r="A3">
        <v>2</v>
      </c>
      <c r="B3" t="s">
        <v>25</v>
      </c>
      <c r="C3" t="s">
        <v>26</v>
      </c>
      <c r="D3" t="s">
        <v>27</v>
      </c>
      <c r="F3" t="s">
        <v>30</v>
      </c>
      <c r="G3" t="s">
        <v>5</v>
      </c>
      <c r="J3" t="s">
        <v>29</v>
      </c>
    </row>
    <row r="4" spans="1:26" hidden="1" x14ac:dyDescent="0.3">
      <c r="A4">
        <v>3</v>
      </c>
      <c r="B4" t="s">
        <v>25</v>
      </c>
      <c r="C4" t="s">
        <v>26</v>
      </c>
      <c r="D4" t="s">
        <v>27</v>
      </c>
      <c r="F4" t="s">
        <v>31</v>
      </c>
      <c r="G4" t="s">
        <v>5</v>
      </c>
      <c r="J4" t="s">
        <v>32</v>
      </c>
    </row>
    <row r="5" spans="1:26" hidden="1" x14ac:dyDescent="0.3">
      <c r="A5">
        <v>4</v>
      </c>
      <c r="B5" t="s">
        <v>25</v>
      </c>
      <c r="C5" t="s">
        <v>26</v>
      </c>
      <c r="D5" t="s">
        <v>27</v>
      </c>
      <c r="E5">
        <v>434375269</v>
      </c>
      <c r="F5" t="s">
        <v>33</v>
      </c>
      <c r="G5" t="s">
        <v>5</v>
      </c>
      <c r="H5" t="s">
        <v>6</v>
      </c>
      <c r="I5" t="s">
        <v>7</v>
      </c>
      <c r="K5" t="s">
        <v>34</v>
      </c>
      <c r="N5" t="s">
        <v>35</v>
      </c>
      <c r="O5" t="s">
        <v>36</v>
      </c>
      <c r="P5" t="s">
        <v>37</v>
      </c>
      <c r="Q5">
        <v>19</v>
      </c>
      <c r="R5">
        <v>6</v>
      </c>
      <c r="S5">
        <v>18</v>
      </c>
      <c r="T5" t="s">
        <v>38</v>
      </c>
      <c r="U5" t="s">
        <v>39</v>
      </c>
      <c r="V5">
        <v>24</v>
      </c>
      <c r="W5">
        <v>84</v>
      </c>
      <c r="X5">
        <v>23</v>
      </c>
      <c r="Y5">
        <v>21096143</v>
      </c>
      <c r="Z5" t="s">
        <v>40</v>
      </c>
    </row>
    <row r="6" spans="1:26" hidden="1" x14ac:dyDescent="0.3">
      <c r="A6">
        <v>5</v>
      </c>
      <c r="B6" t="s">
        <v>25</v>
      </c>
      <c r="C6" t="s">
        <v>26</v>
      </c>
      <c r="D6" t="s">
        <v>27</v>
      </c>
      <c r="E6">
        <v>434375269</v>
      </c>
      <c r="F6" t="s">
        <v>33</v>
      </c>
      <c r="G6" t="s">
        <v>5</v>
      </c>
      <c r="H6" t="s">
        <v>6</v>
      </c>
      <c r="I6" t="s">
        <v>7</v>
      </c>
      <c r="K6" t="s">
        <v>34</v>
      </c>
      <c r="N6" t="s">
        <v>35</v>
      </c>
      <c r="O6" t="s">
        <v>41</v>
      </c>
      <c r="P6" t="s">
        <v>37</v>
      </c>
      <c r="Q6">
        <v>19</v>
      </c>
      <c r="R6">
        <v>6</v>
      </c>
      <c r="S6">
        <v>18</v>
      </c>
      <c r="T6" t="s">
        <v>42</v>
      </c>
      <c r="U6" t="s">
        <v>39</v>
      </c>
      <c r="V6">
        <v>24</v>
      </c>
      <c r="W6">
        <v>84</v>
      </c>
      <c r="X6">
        <v>23</v>
      </c>
      <c r="Y6">
        <v>21096144</v>
      </c>
      <c r="Z6" t="s">
        <v>40</v>
      </c>
    </row>
    <row r="7" spans="1:26" hidden="1" x14ac:dyDescent="0.3">
      <c r="A7">
        <v>6</v>
      </c>
      <c r="B7" t="s">
        <v>25</v>
      </c>
      <c r="C7" t="s">
        <v>26</v>
      </c>
      <c r="D7" t="s">
        <v>27</v>
      </c>
      <c r="E7">
        <v>22077722</v>
      </c>
      <c r="F7" t="s">
        <v>43</v>
      </c>
      <c r="G7" t="s">
        <v>5</v>
      </c>
      <c r="H7" t="s">
        <v>6</v>
      </c>
      <c r="I7" t="s">
        <v>7</v>
      </c>
      <c r="K7" t="s">
        <v>44</v>
      </c>
      <c r="N7" t="s">
        <v>35</v>
      </c>
      <c r="O7" t="s">
        <v>45</v>
      </c>
      <c r="P7" t="s">
        <v>37</v>
      </c>
      <c r="Q7">
        <v>19</v>
      </c>
      <c r="R7">
        <v>7</v>
      </c>
      <c r="S7">
        <v>10</v>
      </c>
      <c r="T7" s="1">
        <v>43714.905555555553</v>
      </c>
      <c r="U7" t="s">
        <v>39</v>
      </c>
      <c r="V7">
        <v>23</v>
      </c>
      <c r="W7">
        <v>84</v>
      </c>
      <c r="X7">
        <v>4</v>
      </c>
      <c r="Y7">
        <v>20952415</v>
      </c>
      <c r="Z7" t="s">
        <v>40</v>
      </c>
    </row>
    <row r="8" spans="1:26" hidden="1" x14ac:dyDescent="0.3">
      <c r="A8">
        <v>7</v>
      </c>
      <c r="B8" t="s">
        <v>25</v>
      </c>
      <c r="C8" t="s">
        <v>26</v>
      </c>
      <c r="D8" t="s">
        <v>27</v>
      </c>
      <c r="E8">
        <v>22077723</v>
      </c>
      <c r="F8" t="s">
        <v>46</v>
      </c>
      <c r="G8" t="s">
        <v>5</v>
      </c>
      <c r="H8" t="s">
        <v>6</v>
      </c>
      <c r="I8" t="s">
        <v>7</v>
      </c>
      <c r="K8" t="s">
        <v>47</v>
      </c>
      <c r="N8" t="s">
        <v>35</v>
      </c>
      <c r="O8" t="s">
        <v>48</v>
      </c>
      <c r="P8" t="s">
        <v>37</v>
      </c>
      <c r="Q8">
        <v>19</v>
      </c>
      <c r="R8">
        <v>7</v>
      </c>
      <c r="S8">
        <v>10</v>
      </c>
      <c r="T8" t="s">
        <v>49</v>
      </c>
      <c r="U8" t="s">
        <v>39</v>
      </c>
      <c r="V8">
        <v>23</v>
      </c>
      <c r="W8">
        <v>84</v>
      </c>
      <c r="X8">
        <v>4</v>
      </c>
      <c r="Y8">
        <v>21587767</v>
      </c>
      <c r="Z8" t="s">
        <v>40</v>
      </c>
    </row>
    <row r="9" spans="1:26" hidden="1" x14ac:dyDescent="0.3">
      <c r="A9">
        <v>8</v>
      </c>
      <c r="B9" t="s">
        <v>25</v>
      </c>
      <c r="C9" t="s">
        <v>26</v>
      </c>
      <c r="D9" t="s">
        <v>27</v>
      </c>
      <c r="E9">
        <v>22077723</v>
      </c>
      <c r="F9" t="s">
        <v>46</v>
      </c>
      <c r="G9" t="s">
        <v>5</v>
      </c>
      <c r="H9" t="s">
        <v>6</v>
      </c>
      <c r="I9" t="s">
        <v>7</v>
      </c>
      <c r="K9" t="s">
        <v>47</v>
      </c>
      <c r="N9" t="s">
        <v>35</v>
      </c>
      <c r="O9" t="s">
        <v>50</v>
      </c>
      <c r="P9" t="s">
        <v>37</v>
      </c>
      <c r="Q9">
        <v>19</v>
      </c>
      <c r="R9">
        <v>7</v>
      </c>
      <c r="S9">
        <v>10</v>
      </c>
      <c r="T9" s="1">
        <v>43714.905555555553</v>
      </c>
      <c r="U9" t="s">
        <v>39</v>
      </c>
      <c r="V9">
        <v>23</v>
      </c>
      <c r="W9">
        <v>84</v>
      </c>
      <c r="X9">
        <v>4</v>
      </c>
      <c r="Y9">
        <v>20952416</v>
      </c>
      <c r="Z9" t="s">
        <v>40</v>
      </c>
    </row>
    <row r="10" spans="1:26" hidden="1" x14ac:dyDescent="0.3">
      <c r="A10">
        <v>9</v>
      </c>
      <c r="B10" t="s">
        <v>25</v>
      </c>
      <c r="C10" t="s">
        <v>26</v>
      </c>
      <c r="D10" t="s">
        <v>27</v>
      </c>
      <c r="E10">
        <v>22077724</v>
      </c>
      <c r="F10" t="s">
        <v>51</v>
      </c>
      <c r="G10" t="s">
        <v>5</v>
      </c>
      <c r="H10" t="s">
        <v>6</v>
      </c>
      <c r="I10" t="s">
        <v>7</v>
      </c>
      <c r="K10" t="s">
        <v>52</v>
      </c>
      <c r="N10" t="s">
        <v>35</v>
      </c>
      <c r="O10" t="s">
        <v>53</v>
      </c>
      <c r="P10" t="s">
        <v>37</v>
      </c>
      <c r="Q10">
        <v>19</v>
      </c>
      <c r="R10">
        <v>7</v>
      </c>
      <c r="S10">
        <v>10</v>
      </c>
      <c r="T10" s="1">
        <v>43714.905555555553</v>
      </c>
      <c r="U10" t="s">
        <v>39</v>
      </c>
      <c r="V10">
        <v>23</v>
      </c>
      <c r="W10">
        <v>84</v>
      </c>
      <c r="X10">
        <v>4</v>
      </c>
      <c r="Y10">
        <v>20952418</v>
      </c>
      <c r="Z10" t="s">
        <v>40</v>
      </c>
    </row>
    <row r="11" spans="1:26" hidden="1" x14ac:dyDescent="0.3">
      <c r="A11">
        <v>10</v>
      </c>
      <c r="B11" t="s">
        <v>25</v>
      </c>
      <c r="C11" t="s">
        <v>26</v>
      </c>
      <c r="D11" t="s">
        <v>27</v>
      </c>
      <c r="E11">
        <v>22077725</v>
      </c>
      <c r="F11" t="s">
        <v>54</v>
      </c>
      <c r="G11" t="s">
        <v>5</v>
      </c>
      <c r="H11" t="s">
        <v>6</v>
      </c>
      <c r="I11" t="s">
        <v>7</v>
      </c>
      <c r="K11" t="s">
        <v>55</v>
      </c>
      <c r="N11" t="s">
        <v>35</v>
      </c>
      <c r="O11" t="s">
        <v>56</v>
      </c>
      <c r="P11" t="s">
        <v>37</v>
      </c>
      <c r="Q11">
        <v>19</v>
      </c>
      <c r="R11">
        <v>7</v>
      </c>
      <c r="S11">
        <v>10</v>
      </c>
      <c r="T11" s="1">
        <v>43714.905555555553</v>
      </c>
      <c r="U11" t="s">
        <v>39</v>
      </c>
      <c r="V11">
        <v>23</v>
      </c>
      <c r="W11">
        <v>84</v>
      </c>
      <c r="X11">
        <v>4</v>
      </c>
      <c r="Y11">
        <v>20952417</v>
      </c>
      <c r="Z11" t="s">
        <v>40</v>
      </c>
    </row>
    <row r="12" spans="1:26" hidden="1" x14ac:dyDescent="0.3">
      <c r="A12">
        <v>11</v>
      </c>
      <c r="B12" t="s">
        <v>25</v>
      </c>
      <c r="C12" t="s">
        <v>26</v>
      </c>
      <c r="D12" t="s">
        <v>27</v>
      </c>
      <c r="E12">
        <v>438033227</v>
      </c>
      <c r="F12" t="s">
        <v>57</v>
      </c>
      <c r="G12" t="s">
        <v>5</v>
      </c>
      <c r="H12" t="s">
        <v>6</v>
      </c>
      <c r="K12" t="s">
        <v>58</v>
      </c>
      <c r="N12" t="s">
        <v>35</v>
      </c>
      <c r="V12">
        <v>23</v>
      </c>
      <c r="W12">
        <v>84</v>
      </c>
      <c r="X12">
        <v>24</v>
      </c>
    </row>
    <row r="13" spans="1:26" hidden="1" x14ac:dyDescent="0.3">
      <c r="A13">
        <v>12</v>
      </c>
      <c r="B13" t="s">
        <v>25</v>
      </c>
      <c r="C13" t="s">
        <v>26</v>
      </c>
      <c r="D13" t="s">
        <v>27</v>
      </c>
      <c r="E13">
        <v>436016115</v>
      </c>
      <c r="F13" t="s">
        <v>59</v>
      </c>
      <c r="G13" t="s">
        <v>5</v>
      </c>
      <c r="H13" t="s">
        <v>6</v>
      </c>
      <c r="I13" t="s">
        <v>7</v>
      </c>
      <c r="K13" t="s">
        <v>60</v>
      </c>
      <c r="N13" t="s">
        <v>35</v>
      </c>
      <c r="O13" t="s">
        <v>61</v>
      </c>
      <c r="P13" t="s">
        <v>37</v>
      </c>
      <c r="T13" s="1">
        <v>45143.632638888892</v>
      </c>
      <c r="U13" s="1">
        <v>45238.849305555559</v>
      </c>
      <c r="V13">
        <v>23</v>
      </c>
      <c r="W13">
        <v>84</v>
      </c>
      <c r="X13">
        <v>15</v>
      </c>
      <c r="Y13">
        <v>436253417</v>
      </c>
      <c r="Z13" t="s">
        <v>40</v>
      </c>
    </row>
    <row r="14" spans="1:26" hidden="1" x14ac:dyDescent="0.3">
      <c r="A14">
        <v>13</v>
      </c>
      <c r="B14" t="s">
        <v>25</v>
      </c>
      <c r="C14" t="s">
        <v>26</v>
      </c>
      <c r="D14" t="s">
        <v>27</v>
      </c>
      <c r="E14">
        <v>462348775</v>
      </c>
      <c r="F14" t="s">
        <v>62</v>
      </c>
      <c r="G14" t="s">
        <v>5</v>
      </c>
      <c r="H14" t="s">
        <v>6</v>
      </c>
      <c r="I14" t="s">
        <v>7</v>
      </c>
      <c r="K14" t="s">
        <v>63</v>
      </c>
      <c r="L14" t="s">
        <v>37</v>
      </c>
      <c r="N14" t="s">
        <v>64</v>
      </c>
      <c r="O14" t="s">
        <v>65</v>
      </c>
      <c r="P14" t="s">
        <v>37</v>
      </c>
      <c r="T14" t="s">
        <v>66</v>
      </c>
      <c r="U14" t="s">
        <v>66</v>
      </c>
      <c r="V14">
        <v>24</v>
      </c>
      <c r="W14">
        <v>84</v>
      </c>
      <c r="X14">
        <v>30</v>
      </c>
      <c r="Y14">
        <v>462348663</v>
      </c>
      <c r="Z14" t="s">
        <v>40</v>
      </c>
    </row>
    <row r="15" spans="1:26" hidden="1" x14ac:dyDescent="0.3">
      <c r="A15">
        <v>14</v>
      </c>
      <c r="B15" t="s">
        <v>25</v>
      </c>
      <c r="C15" t="s">
        <v>26</v>
      </c>
      <c r="D15" t="s">
        <v>27</v>
      </c>
      <c r="E15">
        <v>462348775</v>
      </c>
      <c r="F15" t="s">
        <v>62</v>
      </c>
      <c r="G15" t="s">
        <v>5</v>
      </c>
      <c r="H15" t="s">
        <v>6</v>
      </c>
      <c r="I15" t="s">
        <v>7</v>
      </c>
      <c r="K15" t="s">
        <v>63</v>
      </c>
      <c r="L15" t="s">
        <v>37</v>
      </c>
      <c r="N15" t="s">
        <v>64</v>
      </c>
      <c r="O15" t="s">
        <v>67</v>
      </c>
      <c r="P15" t="s">
        <v>37</v>
      </c>
      <c r="T15" t="s">
        <v>68</v>
      </c>
      <c r="U15" t="s">
        <v>68</v>
      </c>
      <c r="V15">
        <v>24</v>
      </c>
      <c r="W15">
        <v>84</v>
      </c>
      <c r="X15">
        <v>30</v>
      </c>
      <c r="Y15">
        <v>462348662</v>
      </c>
      <c r="Z15" t="s">
        <v>40</v>
      </c>
    </row>
    <row r="16" spans="1:26" hidden="1" x14ac:dyDescent="0.3">
      <c r="A16">
        <v>15</v>
      </c>
      <c r="B16" t="s">
        <v>25</v>
      </c>
      <c r="C16" t="s">
        <v>26</v>
      </c>
      <c r="D16" t="s">
        <v>27</v>
      </c>
      <c r="E16">
        <v>462348774</v>
      </c>
      <c r="F16" t="s">
        <v>69</v>
      </c>
      <c r="G16" t="s">
        <v>5</v>
      </c>
      <c r="H16" t="s">
        <v>6</v>
      </c>
      <c r="I16" t="s">
        <v>7</v>
      </c>
      <c r="K16" t="s">
        <v>70</v>
      </c>
      <c r="L16" t="s">
        <v>37</v>
      </c>
      <c r="N16" t="s">
        <v>71</v>
      </c>
      <c r="O16" t="s">
        <v>72</v>
      </c>
      <c r="P16" t="s">
        <v>37</v>
      </c>
      <c r="T16" t="s">
        <v>73</v>
      </c>
      <c r="U16" t="s">
        <v>73</v>
      </c>
      <c r="V16">
        <v>24</v>
      </c>
      <c r="W16">
        <v>84</v>
      </c>
      <c r="X16">
        <v>30</v>
      </c>
      <c r="Y16">
        <v>462348665</v>
      </c>
      <c r="Z16" t="s">
        <v>40</v>
      </c>
    </row>
    <row r="17" spans="1:26" hidden="1" x14ac:dyDescent="0.3">
      <c r="A17">
        <v>16</v>
      </c>
      <c r="B17" t="s">
        <v>25</v>
      </c>
      <c r="C17" t="s">
        <v>26</v>
      </c>
      <c r="D17" t="s">
        <v>27</v>
      </c>
      <c r="E17">
        <v>462348774</v>
      </c>
      <c r="F17" t="s">
        <v>69</v>
      </c>
      <c r="G17" t="s">
        <v>5</v>
      </c>
      <c r="H17" t="s">
        <v>6</v>
      </c>
      <c r="I17" t="s">
        <v>7</v>
      </c>
      <c r="K17" t="s">
        <v>70</v>
      </c>
      <c r="L17" t="s">
        <v>37</v>
      </c>
      <c r="N17" t="s">
        <v>71</v>
      </c>
      <c r="O17" t="s">
        <v>74</v>
      </c>
      <c r="P17" t="s">
        <v>37</v>
      </c>
      <c r="T17" t="s">
        <v>75</v>
      </c>
      <c r="U17" t="s">
        <v>75</v>
      </c>
      <c r="V17">
        <v>24</v>
      </c>
      <c r="W17">
        <v>84</v>
      </c>
      <c r="X17">
        <v>30</v>
      </c>
      <c r="Y17">
        <v>462348664</v>
      </c>
      <c r="Z17" t="s">
        <v>40</v>
      </c>
    </row>
    <row r="18" spans="1:26" hidden="1" x14ac:dyDescent="0.3">
      <c r="A18">
        <v>17</v>
      </c>
      <c r="B18" t="s">
        <v>25</v>
      </c>
      <c r="C18" t="s">
        <v>26</v>
      </c>
      <c r="D18" t="s">
        <v>27</v>
      </c>
      <c r="E18">
        <v>22077721</v>
      </c>
      <c r="F18" t="s">
        <v>76</v>
      </c>
      <c r="G18" t="s">
        <v>5</v>
      </c>
      <c r="H18" t="s">
        <v>6</v>
      </c>
      <c r="I18" t="s">
        <v>7</v>
      </c>
      <c r="K18" t="s">
        <v>77</v>
      </c>
      <c r="N18" t="s">
        <v>35</v>
      </c>
      <c r="O18" t="s">
        <v>78</v>
      </c>
      <c r="P18" t="s">
        <v>37</v>
      </c>
      <c r="Q18">
        <v>10</v>
      </c>
      <c r="R18">
        <v>15</v>
      </c>
      <c r="S18">
        <v>12</v>
      </c>
      <c r="T18" s="1">
        <v>43807.893055555556</v>
      </c>
      <c r="U18" t="s">
        <v>39</v>
      </c>
      <c r="V18">
        <v>23</v>
      </c>
      <c r="W18">
        <v>84</v>
      </c>
      <c r="X18">
        <v>4</v>
      </c>
      <c r="Y18">
        <v>21296776</v>
      </c>
      <c r="Z18" t="s">
        <v>40</v>
      </c>
    </row>
    <row r="19" spans="1:26" hidden="1" x14ac:dyDescent="0.3">
      <c r="A19">
        <v>18</v>
      </c>
      <c r="B19" t="s">
        <v>25</v>
      </c>
      <c r="C19" t="s">
        <v>26</v>
      </c>
      <c r="D19" t="s">
        <v>27</v>
      </c>
      <c r="E19">
        <v>22077721</v>
      </c>
      <c r="F19" t="s">
        <v>76</v>
      </c>
      <c r="G19" t="s">
        <v>5</v>
      </c>
      <c r="H19" t="s">
        <v>6</v>
      </c>
      <c r="I19" t="s">
        <v>7</v>
      </c>
      <c r="K19" t="s">
        <v>77</v>
      </c>
      <c r="N19" t="s">
        <v>35</v>
      </c>
      <c r="O19" t="s">
        <v>79</v>
      </c>
      <c r="P19" t="s">
        <v>37</v>
      </c>
      <c r="Q19">
        <v>10</v>
      </c>
      <c r="R19">
        <v>15</v>
      </c>
      <c r="S19">
        <v>12</v>
      </c>
      <c r="T19" s="1">
        <v>43807.893055555556</v>
      </c>
      <c r="U19" t="s">
        <v>39</v>
      </c>
      <c r="V19">
        <v>23</v>
      </c>
      <c r="W19">
        <v>84</v>
      </c>
      <c r="X19">
        <v>4</v>
      </c>
      <c r="Y19">
        <v>21296780</v>
      </c>
      <c r="Z19" t="s">
        <v>40</v>
      </c>
    </row>
    <row r="20" spans="1:26" x14ac:dyDescent="0.3">
      <c r="A20">
        <v>19</v>
      </c>
      <c r="B20" t="s">
        <v>25</v>
      </c>
      <c r="C20" t="s">
        <v>26</v>
      </c>
      <c r="D20" t="s">
        <v>27</v>
      </c>
      <c r="E20">
        <v>21603449</v>
      </c>
      <c r="F20" t="s">
        <v>80</v>
      </c>
      <c r="G20" t="s">
        <v>5</v>
      </c>
      <c r="H20" t="s">
        <v>6</v>
      </c>
      <c r="I20" t="s">
        <v>7</v>
      </c>
      <c r="K20" t="s">
        <v>81</v>
      </c>
      <c r="N20" t="s">
        <v>82</v>
      </c>
      <c r="O20" t="s">
        <v>83</v>
      </c>
      <c r="P20" t="s">
        <v>37</v>
      </c>
      <c r="Q20">
        <v>17</v>
      </c>
      <c r="R20">
        <v>7</v>
      </c>
      <c r="S20">
        <v>12</v>
      </c>
      <c r="T20" t="s">
        <v>84</v>
      </c>
      <c r="U20" t="s">
        <v>82</v>
      </c>
      <c r="V20">
        <v>23</v>
      </c>
      <c r="W20">
        <v>84</v>
      </c>
      <c r="X20">
        <v>24</v>
      </c>
      <c r="Y20">
        <v>8300393</v>
      </c>
      <c r="Z20" t="s">
        <v>40</v>
      </c>
    </row>
    <row r="21" spans="1:26" x14ac:dyDescent="0.3">
      <c r="A21">
        <v>20</v>
      </c>
      <c r="B21" t="s">
        <v>25</v>
      </c>
      <c r="C21" t="s">
        <v>26</v>
      </c>
      <c r="D21" t="s">
        <v>27</v>
      </c>
      <c r="E21">
        <v>21603449</v>
      </c>
      <c r="F21" t="s">
        <v>80</v>
      </c>
      <c r="G21" t="s">
        <v>5</v>
      </c>
      <c r="H21" t="s">
        <v>6</v>
      </c>
      <c r="I21" t="s">
        <v>7</v>
      </c>
      <c r="K21" t="s">
        <v>81</v>
      </c>
      <c r="N21" t="s">
        <v>82</v>
      </c>
      <c r="O21" t="s">
        <v>85</v>
      </c>
      <c r="P21" t="s">
        <v>37</v>
      </c>
      <c r="Q21">
        <v>17</v>
      </c>
      <c r="R21">
        <v>7</v>
      </c>
      <c r="S21">
        <v>12</v>
      </c>
      <c r="T21" t="s">
        <v>84</v>
      </c>
      <c r="U21" t="s">
        <v>82</v>
      </c>
      <c r="V21">
        <v>23</v>
      </c>
      <c r="W21">
        <v>84</v>
      </c>
      <c r="X21">
        <v>24</v>
      </c>
      <c r="Y21">
        <v>8282680</v>
      </c>
      <c r="Z21" t="s">
        <v>40</v>
      </c>
    </row>
    <row r="22" spans="1:26" x14ac:dyDescent="0.3">
      <c r="A22">
        <v>21</v>
      </c>
      <c r="B22" t="s">
        <v>25</v>
      </c>
      <c r="C22" t="s">
        <v>26</v>
      </c>
      <c r="D22" t="s">
        <v>27</v>
      </c>
      <c r="F22" t="s">
        <v>86</v>
      </c>
      <c r="G22" t="s">
        <v>5</v>
      </c>
    </row>
    <row r="23" spans="1:26" x14ac:dyDescent="0.3">
      <c r="A23">
        <v>22</v>
      </c>
      <c r="B23" t="s">
        <v>25</v>
      </c>
      <c r="C23" t="s">
        <v>26</v>
      </c>
      <c r="D23" t="s">
        <v>27</v>
      </c>
      <c r="F23" t="s">
        <v>87</v>
      </c>
      <c r="G23" t="s">
        <v>5</v>
      </c>
    </row>
    <row r="24" spans="1:26" x14ac:dyDescent="0.3">
      <c r="A24">
        <v>23</v>
      </c>
      <c r="B24" t="s">
        <v>25</v>
      </c>
      <c r="C24" t="s">
        <v>26</v>
      </c>
      <c r="D24" t="s">
        <v>27</v>
      </c>
      <c r="E24">
        <v>446648767</v>
      </c>
      <c r="F24" t="s">
        <v>88</v>
      </c>
      <c r="G24" t="s">
        <v>5</v>
      </c>
      <c r="H24" t="s">
        <v>6</v>
      </c>
      <c r="K24" t="s">
        <v>89</v>
      </c>
      <c r="N24" t="s">
        <v>90</v>
      </c>
      <c r="V24">
        <v>23</v>
      </c>
      <c r="W24">
        <v>84</v>
      </c>
      <c r="X24">
        <v>15</v>
      </c>
    </row>
    <row r="25" spans="1:26" x14ac:dyDescent="0.3">
      <c r="A25">
        <v>24</v>
      </c>
      <c r="B25" t="s">
        <v>25</v>
      </c>
      <c r="C25" t="s">
        <v>26</v>
      </c>
      <c r="D25" t="s">
        <v>27</v>
      </c>
      <c r="F25" t="s">
        <v>91</v>
      </c>
      <c r="G25" t="s">
        <v>5</v>
      </c>
    </row>
    <row r="26" spans="1:26" x14ac:dyDescent="0.3">
      <c r="A26">
        <v>25</v>
      </c>
      <c r="B26" t="s">
        <v>25</v>
      </c>
      <c r="C26" t="s">
        <v>26</v>
      </c>
      <c r="D26" t="s">
        <v>27</v>
      </c>
      <c r="F26" t="s">
        <v>92</v>
      </c>
      <c r="G26" t="s">
        <v>5</v>
      </c>
    </row>
    <row r="27" spans="1:26" x14ac:dyDescent="0.3">
      <c r="A27">
        <v>26</v>
      </c>
      <c r="B27" t="s">
        <v>25</v>
      </c>
      <c r="C27" t="s">
        <v>26</v>
      </c>
      <c r="D27" t="s">
        <v>27</v>
      </c>
      <c r="F27" t="s">
        <v>93</v>
      </c>
      <c r="G27" t="s">
        <v>5</v>
      </c>
    </row>
    <row r="28" spans="1:26" x14ac:dyDescent="0.3">
      <c r="A28">
        <v>27</v>
      </c>
      <c r="B28" t="s">
        <v>25</v>
      </c>
      <c r="C28" t="s">
        <v>26</v>
      </c>
      <c r="D28" t="s">
        <v>27</v>
      </c>
      <c r="E28">
        <v>22462006</v>
      </c>
      <c r="F28" t="s">
        <v>94</v>
      </c>
      <c r="G28" t="s">
        <v>5</v>
      </c>
      <c r="H28" t="s">
        <v>6</v>
      </c>
      <c r="K28" t="s">
        <v>95</v>
      </c>
      <c r="N28" s="1">
        <v>45599.902083333334</v>
      </c>
      <c r="V28">
        <v>26</v>
      </c>
      <c r="W28">
        <v>84</v>
      </c>
      <c r="X28">
        <v>15</v>
      </c>
    </row>
    <row r="29" spans="1:26" x14ac:dyDescent="0.3">
      <c r="A29">
        <v>28</v>
      </c>
      <c r="B29" t="s">
        <v>25</v>
      </c>
      <c r="C29" t="s">
        <v>26</v>
      </c>
      <c r="D29" t="s">
        <v>27</v>
      </c>
      <c r="E29">
        <v>244224280</v>
      </c>
      <c r="F29" t="s">
        <v>96</v>
      </c>
      <c r="G29" t="s">
        <v>5</v>
      </c>
      <c r="H29" t="s">
        <v>6</v>
      </c>
      <c r="K29" t="s">
        <v>97</v>
      </c>
      <c r="N29" s="1">
        <v>45599.902083333334</v>
      </c>
      <c r="V29">
        <v>26</v>
      </c>
      <c r="W29">
        <v>84</v>
      </c>
      <c r="X29">
        <v>15</v>
      </c>
    </row>
    <row r="30" spans="1:26" x14ac:dyDescent="0.3">
      <c r="A30">
        <v>29</v>
      </c>
      <c r="B30" t="s">
        <v>25</v>
      </c>
      <c r="C30" t="s">
        <v>26</v>
      </c>
      <c r="D30" t="s">
        <v>27</v>
      </c>
      <c r="E30">
        <v>393074091</v>
      </c>
      <c r="F30" t="s">
        <v>98</v>
      </c>
      <c r="G30" t="s">
        <v>5</v>
      </c>
      <c r="H30" t="s">
        <v>6</v>
      </c>
      <c r="K30" t="s">
        <v>99</v>
      </c>
      <c r="N30" s="1">
        <v>45599.902083333334</v>
      </c>
      <c r="V30">
        <v>26</v>
      </c>
      <c r="W30">
        <v>84</v>
      </c>
      <c r="X30">
        <v>15</v>
      </c>
    </row>
    <row r="31" spans="1:26" hidden="1" x14ac:dyDescent="0.3">
      <c r="A31">
        <v>30</v>
      </c>
      <c r="B31" t="s">
        <v>25</v>
      </c>
      <c r="C31" t="s">
        <v>26</v>
      </c>
      <c r="D31" t="s">
        <v>27</v>
      </c>
      <c r="E31">
        <v>446535020</v>
      </c>
      <c r="F31" t="s">
        <v>100</v>
      </c>
      <c r="G31" t="s">
        <v>5</v>
      </c>
      <c r="H31" t="s">
        <v>6</v>
      </c>
      <c r="K31" t="s">
        <v>101</v>
      </c>
      <c r="N31" t="s">
        <v>102</v>
      </c>
      <c r="V31">
        <v>26</v>
      </c>
      <c r="W31">
        <v>84</v>
      </c>
      <c r="X31">
        <v>15</v>
      </c>
    </row>
    <row r="32" spans="1:26" hidden="1" x14ac:dyDescent="0.3">
      <c r="A32">
        <v>31</v>
      </c>
      <c r="B32" t="s">
        <v>25</v>
      </c>
      <c r="C32" t="s">
        <v>26</v>
      </c>
      <c r="D32" t="s">
        <v>27</v>
      </c>
      <c r="E32">
        <v>446535024</v>
      </c>
      <c r="F32" t="s">
        <v>103</v>
      </c>
      <c r="G32" t="s">
        <v>5</v>
      </c>
      <c r="H32" t="s">
        <v>6</v>
      </c>
      <c r="K32" t="s">
        <v>104</v>
      </c>
      <c r="N32" t="s">
        <v>102</v>
      </c>
      <c r="V32">
        <v>26</v>
      </c>
      <c r="W32">
        <v>84</v>
      </c>
      <c r="X32">
        <v>15</v>
      </c>
    </row>
    <row r="33" spans="1:24" hidden="1" x14ac:dyDescent="0.3">
      <c r="A33">
        <v>32</v>
      </c>
      <c r="B33" t="s">
        <v>25</v>
      </c>
      <c r="C33" t="s">
        <v>26</v>
      </c>
      <c r="D33" t="s">
        <v>27</v>
      </c>
      <c r="E33">
        <v>446535028</v>
      </c>
      <c r="F33" t="s">
        <v>105</v>
      </c>
      <c r="G33" t="s">
        <v>5</v>
      </c>
      <c r="H33" t="s">
        <v>6</v>
      </c>
      <c r="K33" t="s">
        <v>106</v>
      </c>
      <c r="N33" t="s">
        <v>102</v>
      </c>
      <c r="V33">
        <v>26</v>
      </c>
      <c r="W33">
        <v>84</v>
      </c>
      <c r="X33">
        <v>15</v>
      </c>
    </row>
    <row r="34" spans="1:24" hidden="1" x14ac:dyDescent="0.3">
      <c r="A34">
        <v>33</v>
      </c>
      <c r="B34" t="s">
        <v>25</v>
      </c>
      <c r="C34" t="s">
        <v>26</v>
      </c>
      <c r="D34" t="s">
        <v>27</v>
      </c>
      <c r="E34">
        <v>446535029</v>
      </c>
      <c r="F34" t="s">
        <v>107</v>
      </c>
      <c r="G34" t="s">
        <v>5</v>
      </c>
      <c r="H34" t="s">
        <v>6</v>
      </c>
      <c r="K34" t="s">
        <v>108</v>
      </c>
      <c r="N34" t="s">
        <v>102</v>
      </c>
      <c r="V34">
        <v>26</v>
      </c>
      <c r="W34">
        <v>84</v>
      </c>
      <c r="X34">
        <v>15</v>
      </c>
    </row>
    <row r="35" spans="1:24" hidden="1" x14ac:dyDescent="0.3">
      <c r="A35">
        <v>34</v>
      </c>
      <c r="B35" t="s">
        <v>25</v>
      </c>
      <c r="C35" t="s">
        <v>26</v>
      </c>
      <c r="D35" t="s">
        <v>27</v>
      </c>
      <c r="E35">
        <v>446535030</v>
      </c>
      <c r="F35" t="s">
        <v>109</v>
      </c>
      <c r="G35" t="s">
        <v>5</v>
      </c>
      <c r="H35" t="s">
        <v>6</v>
      </c>
      <c r="K35" t="s">
        <v>110</v>
      </c>
      <c r="N35" t="s">
        <v>102</v>
      </c>
      <c r="V35">
        <v>26</v>
      </c>
      <c r="W35">
        <v>84</v>
      </c>
      <c r="X35">
        <v>15</v>
      </c>
    </row>
    <row r="36" spans="1:24" hidden="1" x14ac:dyDescent="0.3">
      <c r="A36">
        <v>35</v>
      </c>
      <c r="B36" t="s">
        <v>25</v>
      </c>
      <c r="C36" t="s">
        <v>26</v>
      </c>
      <c r="D36" t="s">
        <v>27</v>
      </c>
      <c r="E36">
        <v>446535031</v>
      </c>
      <c r="F36" t="s">
        <v>111</v>
      </c>
      <c r="G36" t="s">
        <v>5</v>
      </c>
      <c r="H36" t="s">
        <v>6</v>
      </c>
      <c r="K36" t="s">
        <v>112</v>
      </c>
      <c r="N36" t="s">
        <v>102</v>
      </c>
      <c r="V36">
        <v>26</v>
      </c>
      <c r="W36">
        <v>84</v>
      </c>
      <c r="X36">
        <v>15</v>
      </c>
    </row>
    <row r="37" spans="1:24" hidden="1" x14ac:dyDescent="0.3">
      <c r="A37">
        <v>36</v>
      </c>
      <c r="B37" t="s">
        <v>25</v>
      </c>
      <c r="C37" t="s">
        <v>26</v>
      </c>
      <c r="D37" t="s">
        <v>27</v>
      </c>
      <c r="E37">
        <v>446535032</v>
      </c>
      <c r="F37" t="s">
        <v>113</v>
      </c>
      <c r="G37" t="s">
        <v>5</v>
      </c>
      <c r="H37" t="s">
        <v>6</v>
      </c>
      <c r="K37" t="s">
        <v>114</v>
      </c>
      <c r="N37" t="s">
        <v>102</v>
      </c>
      <c r="V37">
        <v>26</v>
      </c>
      <c r="W37">
        <v>84</v>
      </c>
      <c r="X37">
        <v>15</v>
      </c>
    </row>
    <row r="38" spans="1:24" hidden="1" x14ac:dyDescent="0.3">
      <c r="A38">
        <v>37</v>
      </c>
      <c r="B38" t="s">
        <v>25</v>
      </c>
      <c r="C38" t="s">
        <v>26</v>
      </c>
      <c r="D38" t="s">
        <v>27</v>
      </c>
      <c r="E38">
        <v>446535033</v>
      </c>
      <c r="F38" t="s">
        <v>115</v>
      </c>
      <c r="G38" t="s">
        <v>5</v>
      </c>
      <c r="H38" t="s">
        <v>6</v>
      </c>
      <c r="K38" t="s">
        <v>116</v>
      </c>
      <c r="N38" t="s">
        <v>102</v>
      </c>
      <c r="V38">
        <v>26</v>
      </c>
      <c r="W38">
        <v>84</v>
      </c>
      <c r="X38">
        <v>15</v>
      </c>
    </row>
    <row r="39" spans="1:24" hidden="1" x14ac:dyDescent="0.3">
      <c r="A39">
        <v>38</v>
      </c>
      <c r="B39" t="s">
        <v>25</v>
      </c>
      <c r="C39" t="s">
        <v>26</v>
      </c>
      <c r="D39" t="s">
        <v>27</v>
      </c>
      <c r="E39">
        <v>446535022</v>
      </c>
      <c r="F39" t="s">
        <v>117</v>
      </c>
      <c r="G39" t="s">
        <v>5</v>
      </c>
      <c r="H39" t="s">
        <v>6</v>
      </c>
      <c r="K39" t="s">
        <v>118</v>
      </c>
      <c r="N39" t="s">
        <v>102</v>
      </c>
      <c r="V39">
        <v>26</v>
      </c>
      <c r="W39">
        <v>84</v>
      </c>
      <c r="X39">
        <v>15</v>
      </c>
    </row>
    <row r="40" spans="1:24" hidden="1" x14ac:dyDescent="0.3">
      <c r="A40">
        <v>39</v>
      </c>
      <c r="B40" t="s">
        <v>25</v>
      </c>
      <c r="C40" t="s">
        <v>26</v>
      </c>
      <c r="D40" t="s">
        <v>27</v>
      </c>
      <c r="E40">
        <v>446535023</v>
      </c>
      <c r="F40" t="s">
        <v>119</v>
      </c>
      <c r="G40" t="s">
        <v>5</v>
      </c>
      <c r="H40" t="s">
        <v>6</v>
      </c>
      <c r="K40" t="s">
        <v>120</v>
      </c>
      <c r="N40" t="s">
        <v>102</v>
      </c>
      <c r="V40">
        <v>26</v>
      </c>
      <c r="W40">
        <v>84</v>
      </c>
      <c r="X40">
        <v>15</v>
      </c>
    </row>
    <row r="41" spans="1:24" hidden="1" x14ac:dyDescent="0.3">
      <c r="A41">
        <v>40</v>
      </c>
      <c r="B41" t="s">
        <v>25</v>
      </c>
      <c r="C41" t="s">
        <v>26</v>
      </c>
      <c r="D41" t="s">
        <v>27</v>
      </c>
      <c r="E41">
        <v>446535021</v>
      </c>
      <c r="F41" t="s">
        <v>121</v>
      </c>
      <c r="G41" t="s">
        <v>5</v>
      </c>
      <c r="H41" t="s">
        <v>6</v>
      </c>
      <c r="K41" t="s">
        <v>122</v>
      </c>
      <c r="N41" t="s">
        <v>102</v>
      </c>
      <c r="V41">
        <v>26</v>
      </c>
      <c r="W41">
        <v>84</v>
      </c>
      <c r="X41">
        <v>15</v>
      </c>
    </row>
    <row r="42" spans="1:24" hidden="1" x14ac:dyDescent="0.3">
      <c r="A42">
        <v>41</v>
      </c>
      <c r="B42" t="s">
        <v>25</v>
      </c>
      <c r="C42" t="s">
        <v>26</v>
      </c>
      <c r="D42" t="s">
        <v>27</v>
      </c>
      <c r="E42">
        <v>446535034</v>
      </c>
      <c r="F42" t="s">
        <v>123</v>
      </c>
      <c r="G42" t="s">
        <v>5</v>
      </c>
      <c r="H42" t="s">
        <v>6</v>
      </c>
      <c r="K42" t="s">
        <v>124</v>
      </c>
      <c r="N42" t="s">
        <v>125</v>
      </c>
      <c r="V42">
        <v>26</v>
      </c>
      <c r="W42">
        <v>84</v>
      </c>
      <c r="X42">
        <v>15</v>
      </c>
    </row>
    <row r="43" spans="1:24" hidden="1" x14ac:dyDescent="0.3">
      <c r="A43">
        <v>42</v>
      </c>
      <c r="B43" t="s">
        <v>25</v>
      </c>
      <c r="C43" t="s">
        <v>26</v>
      </c>
      <c r="D43" t="s">
        <v>27</v>
      </c>
      <c r="E43">
        <v>446535035</v>
      </c>
      <c r="F43" t="s">
        <v>126</v>
      </c>
      <c r="G43" t="s">
        <v>5</v>
      </c>
      <c r="H43" t="s">
        <v>6</v>
      </c>
      <c r="K43" t="s">
        <v>127</v>
      </c>
      <c r="N43" t="s">
        <v>125</v>
      </c>
      <c r="V43">
        <v>26</v>
      </c>
      <c r="W43">
        <v>84</v>
      </c>
      <c r="X43">
        <v>15</v>
      </c>
    </row>
    <row r="44" spans="1:24" hidden="1" x14ac:dyDescent="0.3">
      <c r="A44">
        <v>43</v>
      </c>
      <c r="B44" t="s">
        <v>25</v>
      </c>
      <c r="C44" t="s">
        <v>26</v>
      </c>
      <c r="D44" t="s">
        <v>27</v>
      </c>
      <c r="E44">
        <v>446535036</v>
      </c>
      <c r="F44" t="s">
        <v>128</v>
      </c>
      <c r="G44" t="s">
        <v>5</v>
      </c>
      <c r="H44" t="s">
        <v>6</v>
      </c>
      <c r="K44" t="s">
        <v>129</v>
      </c>
      <c r="N44" t="s">
        <v>125</v>
      </c>
      <c r="V44">
        <v>26</v>
      </c>
      <c r="W44">
        <v>84</v>
      </c>
      <c r="X44">
        <v>15</v>
      </c>
    </row>
    <row r="45" spans="1:24" hidden="1" x14ac:dyDescent="0.3">
      <c r="A45">
        <v>44</v>
      </c>
      <c r="B45" t="s">
        <v>25</v>
      </c>
      <c r="C45" t="s">
        <v>26</v>
      </c>
      <c r="D45" t="s">
        <v>27</v>
      </c>
      <c r="E45">
        <v>446535037</v>
      </c>
      <c r="F45" t="s">
        <v>130</v>
      </c>
      <c r="G45" t="s">
        <v>5</v>
      </c>
      <c r="H45" t="s">
        <v>6</v>
      </c>
      <c r="K45" t="s">
        <v>131</v>
      </c>
      <c r="N45" t="s">
        <v>125</v>
      </c>
      <c r="V45">
        <v>26</v>
      </c>
      <c r="W45">
        <v>84</v>
      </c>
      <c r="X45">
        <v>15</v>
      </c>
    </row>
    <row r="46" spans="1:24" hidden="1" x14ac:dyDescent="0.3">
      <c r="A46">
        <v>45</v>
      </c>
      <c r="B46" t="s">
        <v>25</v>
      </c>
      <c r="C46" t="s">
        <v>26</v>
      </c>
      <c r="D46" t="s">
        <v>27</v>
      </c>
      <c r="E46">
        <v>446535045</v>
      </c>
      <c r="F46" t="s">
        <v>132</v>
      </c>
      <c r="G46" t="s">
        <v>5</v>
      </c>
      <c r="H46" t="s">
        <v>6</v>
      </c>
      <c r="K46" t="s">
        <v>133</v>
      </c>
      <c r="N46" t="s">
        <v>125</v>
      </c>
      <c r="V46">
        <v>26</v>
      </c>
      <c r="W46">
        <v>84</v>
      </c>
      <c r="X46">
        <v>15</v>
      </c>
    </row>
    <row r="47" spans="1:24" hidden="1" x14ac:dyDescent="0.3">
      <c r="A47">
        <v>46</v>
      </c>
      <c r="B47" t="s">
        <v>25</v>
      </c>
      <c r="C47" t="s">
        <v>26</v>
      </c>
      <c r="D47" t="s">
        <v>27</v>
      </c>
      <c r="E47">
        <v>446535044</v>
      </c>
      <c r="F47" t="s">
        <v>134</v>
      </c>
      <c r="G47" t="s">
        <v>5</v>
      </c>
      <c r="H47" t="s">
        <v>6</v>
      </c>
      <c r="K47" t="s">
        <v>135</v>
      </c>
      <c r="N47" t="s">
        <v>125</v>
      </c>
      <c r="V47">
        <v>26</v>
      </c>
      <c r="W47">
        <v>84</v>
      </c>
      <c r="X47">
        <v>15</v>
      </c>
    </row>
    <row r="48" spans="1:24" hidden="1" x14ac:dyDescent="0.3">
      <c r="A48">
        <v>47</v>
      </c>
      <c r="B48" t="s">
        <v>25</v>
      </c>
      <c r="C48" t="s">
        <v>26</v>
      </c>
      <c r="D48" t="s">
        <v>27</v>
      </c>
      <c r="E48">
        <v>446535043</v>
      </c>
      <c r="F48" t="s">
        <v>136</v>
      </c>
      <c r="G48" t="s">
        <v>5</v>
      </c>
      <c r="H48" t="s">
        <v>6</v>
      </c>
      <c r="K48" t="s">
        <v>137</v>
      </c>
      <c r="N48" t="s">
        <v>125</v>
      </c>
      <c r="V48">
        <v>26</v>
      </c>
      <c r="W48">
        <v>84</v>
      </c>
      <c r="X48">
        <v>15</v>
      </c>
    </row>
    <row r="49" spans="1:24" hidden="1" x14ac:dyDescent="0.3">
      <c r="A49">
        <v>48</v>
      </c>
      <c r="B49" t="s">
        <v>25</v>
      </c>
      <c r="C49" t="s">
        <v>26</v>
      </c>
      <c r="D49" t="s">
        <v>27</v>
      </c>
      <c r="E49">
        <v>446535042</v>
      </c>
      <c r="F49" t="s">
        <v>138</v>
      </c>
      <c r="G49" t="s">
        <v>5</v>
      </c>
      <c r="H49" t="s">
        <v>6</v>
      </c>
      <c r="K49" t="s">
        <v>139</v>
      </c>
      <c r="N49" t="s">
        <v>125</v>
      </c>
      <c r="V49">
        <v>26</v>
      </c>
      <c r="W49">
        <v>84</v>
      </c>
      <c r="X49">
        <v>15</v>
      </c>
    </row>
    <row r="50" spans="1:24" hidden="1" x14ac:dyDescent="0.3">
      <c r="A50">
        <v>49</v>
      </c>
      <c r="B50" t="s">
        <v>25</v>
      </c>
      <c r="C50" t="s">
        <v>26</v>
      </c>
      <c r="D50" t="s">
        <v>27</v>
      </c>
      <c r="E50">
        <v>446535041</v>
      </c>
      <c r="F50" t="s">
        <v>140</v>
      </c>
      <c r="G50" t="s">
        <v>5</v>
      </c>
      <c r="H50" t="s">
        <v>6</v>
      </c>
      <c r="K50" t="s">
        <v>141</v>
      </c>
      <c r="N50" t="s">
        <v>125</v>
      </c>
      <c r="V50">
        <v>26</v>
      </c>
      <c r="W50">
        <v>84</v>
      </c>
      <c r="X50">
        <v>15</v>
      </c>
    </row>
    <row r="51" spans="1:24" hidden="1" x14ac:dyDescent="0.3">
      <c r="A51">
        <v>50</v>
      </c>
      <c r="B51" t="s">
        <v>25</v>
      </c>
      <c r="C51" t="s">
        <v>26</v>
      </c>
      <c r="D51" t="s">
        <v>27</v>
      </c>
      <c r="E51">
        <v>446535040</v>
      </c>
      <c r="F51" t="s">
        <v>142</v>
      </c>
      <c r="G51" t="s">
        <v>5</v>
      </c>
      <c r="H51" t="s">
        <v>6</v>
      </c>
      <c r="K51" t="s">
        <v>143</v>
      </c>
      <c r="N51" t="s">
        <v>125</v>
      </c>
      <c r="V51">
        <v>26</v>
      </c>
      <c r="W51">
        <v>84</v>
      </c>
      <c r="X51">
        <v>15</v>
      </c>
    </row>
    <row r="52" spans="1:24" hidden="1" x14ac:dyDescent="0.3">
      <c r="A52">
        <v>51</v>
      </c>
      <c r="B52" t="s">
        <v>25</v>
      </c>
      <c r="C52" t="s">
        <v>26</v>
      </c>
      <c r="D52" t="s">
        <v>27</v>
      </c>
      <c r="E52">
        <v>446535039</v>
      </c>
      <c r="F52" t="s">
        <v>144</v>
      </c>
      <c r="G52" t="s">
        <v>5</v>
      </c>
      <c r="H52" t="s">
        <v>6</v>
      </c>
      <c r="K52" t="s">
        <v>145</v>
      </c>
      <c r="N52" t="s">
        <v>125</v>
      </c>
      <c r="V52">
        <v>26</v>
      </c>
      <c r="W52">
        <v>84</v>
      </c>
      <c r="X52">
        <v>15</v>
      </c>
    </row>
    <row r="53" spans="1:24" hidden="1" x14ac:dyDescent="0.3">
      <c r="A53">
        <v>52</v>
      </c>
      <c r="B53" t="s">
        <v>25</v>
      </c>
      <c r="C53" t="s">
        <v>26</v>
      </c>
      <c r="D53" t="s">
        <v>27</v>
      </c>
      <c r="E53">
        <v>446535038</v>
      </c>
      <c r="F53" t="s">
        <v>146</v>
      </c>
      <c r="G53" t="s">
        <v>5</v>
      </c>
      <c r="H53" t="s">
        <v>6</v>
      </c>
      <c r="K53" t="s">
        <v>147</v>
      </c>
      <c r="N53" t="s">
        <v>125</v>
      </c>
      <c r="V53">
        <v>26</v>
      </c>
      <c r="W53">
        <v>84</v>
      </c>
      <c r="X53">
        <v>15</v>
      </c>
    </row>
    <row r="54" spans="1:24" hidden="1" x14ac:dyDescent="0.3">
      <c r="A54">
        <v>53</v>
      </c>
      <c r="B54" t="s">
        <v>25</v>
      </c>
      <c r="C54" t="s">
        <v>26</v>
      </c>
      <c r="D54" t="s">
        <v>27</v>
      </c>
      <c r="F54" t="s">
        <v>148</v>
      </c>
      <c r="G54" t="s">
        <v>5</v>
      </c>
      <c r="J54" t="s">
        <v>32</v>
      </c>
    </row>
    <row r="55" spans="1:24" hidden="1" x14ac:dyDescent="0.3">
      <c r="A55">
        <v>54</v>
      </c>
      <c r="B55" t="s">
        <v>25</v>
      </c>
      <c r="C55" t="s">
        <v>26</v>
      </c>
      <c r="D55" t="s">
        <v>27</v>
      </c>
      <c r="F55" t="s">
        <v>149</v>
      </c>
      <c r="G55" t="s">
        <v>5</v>
      </c>
      <c r="J55" t="s">
        <v>32</v>
      </c>
    </row>
    <row r="56" spans="1:24" hidden="1" x14ac:dyDescent="0.3">
      <c r="A56">
        <v>55</v>
      </c>
      <c r="B56" t="s">
        <v>25</v>
      </c>
      <c r="C56" t="s">
        <v>26</v>
      </c>
      <c r="D56" t="s">
        <v>27</v>
      </c>
      <c r="F56" t="s">
        <v>150</v>
      </c>
      <c r="G56" t="s">
        <v>5</v>
      </c>
      <c r="J56" t="s">
        <v>32</v>
      </c>
    </row>
    <row r="57" spans="1:24" hidden="1" x14ac:dyDescent="0.3">
      <c r="A57">
        <v>56</v>
      </c>
      <c r="B57" t="s">
        <v>25</v>
      </c>
      <c r="C57" t="s">
        <v>26</v>
      </c>
      <c r="D57" t="s">
        <v>27</v>
      </c>
      <c r="F57" t="s">
        <v>151</v>
      </c>
      <c r="G57" t="s">
        <v>5</v>
      </c>
      <c r="J57" t="s">
        <v>29</v>
      </c>
    </row>
    <row r="58" spans="1:24" hidden="1" x14ac:dyDescent="0.3">
      <c r="A58">
        <v>57</v>
      </c>
      <c r="B58" t="s">
        <v>25</v>
      </c>
      <c r="C58" t="s">
        <v>26</v>
      </c>
      <c r="D58" t="s">
        <v>27</v>
      </c>
      <c r="F58" t="s">
        <v>152</v>
      </c>
      <c r="G58" t="s">
        <v>5</v>
      </c>
      <c r="J58" t="s">
        <v>29</v>
      </c>
    </row>
    <row r="59" spans="1:24" hidden="1" x14ac:dyDescent="0.3">
      <c r="A59">
        <v>58</v>
      </c>
      <c r="B59" t="s">
        <v>25</v>
      </c>
      <c r="C59" t="s">
        <v>26</v>
      </c>
      <c r="D59" t="s">
        <v>27</v>
      </c>
      <c r="F59" t="s">
        <v>153</v>
      </c>
      <c r="G59" t="s">
        <v>5</v>
      </c>
      <c r="J59" t="s">
        <v>29</v>
      </c>
    </row>
    <row r="60" spans="1:24" hidden="1" x14ac:dyDescent="0.3">
      <c r="A60">
        <v>59</v>
      </c>
      <c r="B60" t="s">
        <v>25</v>
      </c>
      <c r="C60" t="s">
        <v>26</v>
      </c>
      <c r="D60" t="s">
        <v>27</v>
      </c>
      <c r="F60" t="s">
        <v>154</v>
      </c>
      <c r="G60" t="s">
        <v>5</v>
      </c>
      <c r="J60" t="s">
        <v>29</v>
      </c>
    </row>
    <row r="61" spans="1:24" hidden="1" x14ac:dyDescent="0.3">
      <c r="A61">
        <v>60</v>
      </c>
      <c r="B61" t="s">
        <v>25</v>
      </c>
      <c r="C61" t="s">
        <v>26</v>
      </c>
      <c r="D61" t="s">
        <v>27</v>
      </c>
      <c r="F61" t="s">
        <v>155</v>
      </c>
      <c r="G61" t="s">
        <v>5</v>
      </c>
      <c r="J61" t="s">
        <v>29</v>
      </c>
    </row>
    <row r="62" spans="1:24" hidden="1" x14ac:dyDescent="0.3">
      <c r="A62">
        <v>61</v>
      </c>
      <c r="B62" t="s">
        <v>25</v>
      </c>
      <c r="C62" t="s">
        <v>26</v>
      </c>
      <c r="D62" t="s">
        <v>27</v>
      </c>
      <c r="F62" t="s">
        <v>156</v>
      </c>
      <c r="G62" t="s">
        <v>5</v>
      </c>
      <c r="J62" t="s">
        <v>29</v>
      </c>
    </row>
    <row r="63" spans="1:24" hidden="1" x14ac:dyDescent="0.3">
      <c r="A63">
        <v>62</v>
      </c>
      <c r="B63" t="s">
        <v>25</v>
      </c>
      <c r="C63" t="s">
        <v>26</v>
      </c>
      <c r="D63" t="s">
        <v>27</v>
      </c>
      <c r="F63" t="s">
        <v>157</v>
      </c>
      <c r="G63" t="s">
        <v>5</v>
      </c>
    </row>
    <row r="69" spans="9:9" x14ac:dyDescent="0.3">
      <c r="I69">
        <v>74000</v>
      </c>
    </row>
    <row r="70" spans="9:9" x14ac:dyDescent="0.3">
      <c r="I70">
        <v>300</v>
      </c>
    </row>
    <row r="71" spans="9:9" x14ac:dyDescent="0.3">
      <c r="I71">
        <f>I69/I70</f>
        <v>246.66666666666666</v>
      </c>
    </row>
  </sheetData>
  <autoFilter ref="A1:Z63" xr:uid="{0CA47495-FAF0-4C55-83E3-EFAA1F828F73}">
    <filterColumn colId="5">
      <filters>
        <filter val="CSRKCOCF.001.0002..R01.001"/>
        <filter val="CSRKCOCF.001.0002.003.001.001"/>
        <filter val="CSRKCOCF.001.0002.003.001.002"/>
        <filter val="CSRKCOCF.001.0002.003.001.003"/>
        <filter val="CSRKCOCF.001.0002.003.002.001"/>
        <filter val="CSRKCOCF.001.0002.003.002.002"/>
        <filter val="CSRKCOCF.001.0002.003.002.003"/>
        <filter val="CSRKCOCF.001.0002.004.402.001"/>
        <filter val="CSRKCOCF.001.0002.004.402.002"/>
        <filter val="CSRKCOCF.001.0002.004.402.003"/>
      </filters>
    </filterColumn>
  </autoFilter>
  <conditionalFormatting sqref="E1:E1048576">
    <cfRule type="duplicateValues" dxfId="14" priority="1"/>
    <cfRule type="duplicateValues" dxfId="1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1101-C4A7-47EE-8BC7-14BAC88E8E44}">
  <dimension ref="A1:N52"/>
  <sheetViews>
    <sheetView tabSelected="1" topLeftCell="A19" workbookViewId="0">
      <selection activeCell="A31" sqref="A31:B31"/>
    </sheetView>
  </sheetViews>
  <sheetFormatPr defaultRowHeight="14.4" x14ac:dyDescent="0.3"/>
  <cols>
    <col min="1" max="1" width="16.21875" bestFit="1" customWidth="1"/>
    <col min="2" max="2" width="35.33203125" style="4" bestFit="1" customWidth="1"/>
    <col min="3" max="4" width="10" bestFit="1" customWidth="1"/>
    <col min="10" max="10" width="10" bestFit="1" customWidth="1"/>
    <col min="12" max="12" width="10" bestFit="1" customWidth="1"/>
    <col min="14" max="14" width="10" bestFit="1" customWidth="1"/>
  </cols>
  <sheetData>
    <row r="1" spans="3:14" x14ac:dyDescent="0.3">
      <c r="C1">
        <v>434375269</v>
      </c>
      <c r="D1" cm="1">
        <f t="array" ref="D1:D10">VLOOKUP(C1:C10,CSRKCOCF_CSV!E:I,1,0)</f>
        <v>434375269</v>
      </c>
      <c r="J1" t="s">
        <v>158</v>
      </c>
      <c r="L1" t="s">
        <v>159</v>
      </c>
      <c r="N1" t="s">
        <v>160</v>
      </c>
    </row>
    <row r="2" spans="3:14" x14ac:dyDescent="0.3">
      <c r="C2">
        <v>22077722</v>
      </c>
      <c r="D2">
        <v>22077722</v>
      </c>
      <c r="I2">
        <v>1</v>
      </c>
      <c r="J2">
        <v>434375269</v>
      </c>
      <c r="L2">
        <v>21603449</v>
      </c>
      <c r="N2">
        <v>446535020</v>
      </c>
    </row>
    <row r="3" spans="3:14" x14ac:dyDescent="0.3">
      <c r="C3">
        <v>22077723</v>
      </c>
      <c r="D3">
        <v>22077723</v>
      </c>
      <c r="I3">
        <v>2</v>
      </c>
      <c r="J3">
        <v>22077722</v>
      </c>
      <c r="L3">
        <v>446648767</v>
      </c>
      <c r="N3">
        <v>446535024</v>
      </c>
    </row>
    <row r="4" spans="3:14" x14ac:dyDescent="0.3">
      <c r="C4">
        <v>22077724</v>
      </c>
      <c r="D4">
        <v>22077724</v>
      </c>
      <c r="I4">
        <v>3</v>
      </c>
      <c r="J4">
        <v>22077723</v>
      </c>
      <c r="L4">
        <v>22462006</v>
      </c>
      <c r="N4">
        <v>446535028</v>
      </c>
    </row>
    <row r="5" spans="3:14" x14ac:dyDescent="0.3">
      <c r="C5">
        <v>22077725</v>
      </c>
      <c r="D5">
        <v>22077725</v>
      </c>
      <c r="I5">
        <v>4</v>
      </c>
      <c r="J5">
        <v>22077724</v>
      </c>
      <c r="L5">
        <v>244224280</v>
      </c>
      <c r="N5">
        <v>446535029</v>
      </c>
    </row>
    <row r="6" spans="3:14" x14ac:dyDescent="0.3">
      <c r="C6">
        <v>438033227</v>
      </c>
      <c r="D6">
        <v>438033227</v>
      </c>
      <c r="I6">
        <v>5</v>
      </c>
      <c r="J6">
        <v>22077725</v>
      </c>
      <c r="L6" s="2">
        <v>393074091</v>
      </c>
      <c r="N6">
        <v>446535030</v>
      </c>
    </row>
    <row r="7" spans="3:14" x14ac:dyDescent="0.3">
      <c r="C7">
        <v>436016115</v>
      </c>
      <c r="D7">
        <v>436016115</v>
      </c>
      <c r="I7">
        <v>6</v>
      </c>
      <c r="J7">
        <v>438033227</v>
      </c>
      <c r="N7">
        <v>446535031</v>
      </c>
    </row>
    <row r="8" spans="3:14" x14ac:dyDescent="0.3">
      <c r="C8">
        <v>462348775</v>
      </c>
      <c r="D8">
        <v>462348775</v>
      </c>
      <c r="I8">
        <v>7</v>
      </c>
      <c r="J8">
        <v>436016115</v>
      </c>
      <c r="N8">
        <v>446535032</v>
      </c>
    </row>
    <row r="9" spans="3:14" x14ac:dyDescent="0.3">
      <c r="C9">
        <v>462348774</v>
      </c>
      <c r="D9">
        <v>462348774</v>
      </c>
      <c r="I9">
        <v>8</v>
      </c>
      <c r="J9">
        <v>462348775</v>
      </c>
      <c r="N9">
        <v>446535033</v>
      </c>
    </row>
    <row r="10" spans="3:14" x14ac:dyDescent="0.3">
      <c r="C10">
        <v>22077721</v>
      </c>
      <c r="D10">
        <v>22077721</v>
      </c>
      <c r="I10">
        <v>9</v>
      </c>
      <c r="J10">
        <v>462348774</v>
      </c>
      <c r="N10">
        <v>446535022</v>
      </c>
    </row>
    <row r="11" spans="3:14" x14ac:dyDescent="0.3">
      <c r="I11">
        <v>10</v>
      </c>
      <c r="J11" s="2">
        <v>22077721</v>
      </c>
      <c r="N11">
        <v>446535023</v>
      </c>
    </row>
    <row r="12" spans="3:14" x14ac:dyDescent="0.3">
      <c r="I12">
        <v>11</v>
      </c>
      <c r="N12">
        <v>446535021</v>
      </c>
    </row>
    <row r="13" spans="3:14" x14ac:dyDescent="0.3">
      <c r="I13">
        <v>12</v>
      </c>
      <c r="N13">
        <v>446535034</v>
      </c>
    </row>
    <row r="14" spans="3:14" x14ac:dyDescent="0.3">
      <c r="I14">
        <v>13</v>
      </c>
      <c r="N14">
        <v>446535035</v>
      </c>
    </row>
    <row r="15" spans="3:14" x14ac:dyDescent="0.3">
      <c r="I15">
        <v>14</v>
      </c>
      <c r="N15">
        <v>446535036</v>
      </c>
    </row>
    <row r="16" spans="3:14" x14ac:dyDescent="0.3">
      <c r="I16">
        <v>15</v>
      </c>
      <c r="N16">
        <v>446535037</v>
      </c>
    </row>
    <row r="17" spans="1:14" x14ac:dyDescent="0.3">
      <c r="I17">
        <v>16</v>
      </c>
      <c r="N17">
        <v>446535045</v>
      </c>
    </row>
    <row r="18" spans="1:14" x14ac:dyDescent="0.3">
      <c r="I18">
        <v>17</v>
      </c>
      <c r="N18">
        <v>446535044</v>
      </c>
    </row>
    <row r="19" spans="1:14" x14ac:dyDescent="0.3">
      <c r="I19">
        <v>18</v>
      </c>
      <c r="N19">
        <v>446535043</v>
      </c>
    </row>
    <row r="20" spans="1:14" x14ac:dyDescent="0.3">
      <c r="I20">
        <v>19</v>
      </c>
      <c r="N20">
        <v>446535042</v>
      </c>
    </row>
    <row r="21" spans="1:14" x14ac:dyDescent="0.3">
      <c r="I21">
        <v>20</v>
      </c>
      <c r="N21">
        <v>446535041</v>
      </c>
    </row>
    <row r="22" spans="1:14" x14ac:dyDescent="0.3">
      <c r="I22">
        <v>21</v>
      </c>
      <c r="N22">
        <v>446535040</v>
      </c>
    </row>
    <row r="23" spans="1:14" x14ac:dyDescent="0.3">
      <c r="I23">
        <v>22</v>
      </c>
      <c r="N23">
        <v>446535039</v>
      </c>
    </row>
    <row r="24" spans="1:14" x14ac:dyDescent="0.3">
      <c r="I24">
        <v>23</v>
      </c>
      <c r="N24" s="2">
        <v>446535038</v>
      </c>
    </row>
    <row r="27" spans="1:14" x14ac:dyDescent="0.3">
      <c r="A27" s="3" t="s">
        <v>0</v>
      </c>
      <c r="B27" s="4" t="s">
        <v>25</v>
      </c>
    </row>
    <row r="28" spans="1:14" x14ac:dyDescent="0.3">
      <c r="A28" s="3" t="s">
        <v>1</v>
      </c>
      <c r="B28" s="4" t="s">
        <v>26</v>
      </c>
    </row>
    <row r="29" spans="1:14" x14ac:dyDescent="0.3">
      <c r="A29" s="3" t="s">
        <v>2</v>
      </c>
      <c r="B29" s="4" t="s">
        <v>27</v>
      </c>
    </row>
    <row r="30" spans="1:14" x14ac:dyDescent="0.3">
      <c r="A30" s="3" t="s">
        <v>3</v>
      </c>
    </row>
    <row r="31" spans="1:14" x14ac:dyDescent="0.3">
      <c r="A31" s="3" t="s">
        <v>4</v>
      </c>
      <c r="B31" s="4" t="s">
        <v>80</v>
      </c>
    </row>
    <row r="32" spans="1:14" x14ac:dyDescent="0.3">
      <c r="A32" s="3" t="s">
        <v>5</v>
      </c>
      <c r="B32" s="4" t="s">
        <v>5</v>
      </c>
    </row>
    <row r="33" spans="1:2" x14ac:dyDescent="0.3">
      <c r="A33" s="3" t="s">
        <v>6</v>
      </c>
      <c r="B33" s="4" t="s">
        <v>6</v>
      </c>
    </row>
    <row r="34" spans="1:2" x14ac:dyDescent="0.3">
      <c r="A34" s="3" t="s">
        <v>7</v>
      </c>
      <c r="B34" s="4" t="s">
        <v>7</v>
      </c>
    </row>
    <row r="35" spans="1:2" x14ac:dyDescent="0.3">
      <c r="A35" s="3" t="s">
        <v>8</v>
      </c>
    </row>
    <row r="36" spans="1:2" x14ac:dyDescent="0.3">
      <c r="A36" s="3" t="s">
        <v>9</v>
      </c>
      <c r="B36" s="4" t="s">
        <v>81</v>
      </c>
    </row>
    <row r="37" spans="1:2" x14ac:dyDescent="0.3">
      <c r="A37" s="3" t="s">
        <v>10</v>
      </c>
    </row>
    <row r="38" spans="1:2" x14ac:dyDescent="0.3">
      <c r="A38" s="3" t="s">
        <v>11</v>
      </c>
    </row>
    <row r="39" spans="1:2" x14ac:dyDescent="0.3">
      <c r="A39" s="3" t="s">
        <v>12</v>
      </c>
      <c r="B39" s="4" t="s">
        <v>82</v>
      </c>
    </row>
    <row r="40" spans="1:2" x14ac:dyDescent="0.3">
      <c r="A40" s="3" t="s">
        <v>13</v>
      </c>
      <c r="B40" s="4" t="s">
        <v>83</v>
      </c>
    </row>
    <row r="41" spans="1:2" x14ac:dyDescent="0.3">
      <c r="A41" s="3" t="s">
        <v>14</v>
      </c>
      <c r="B41" s="4" t="s">
        <v>37</v>
      </c>
    </row>
    <row r="42" spans="1:2" x14ac:dyDescent="0.3">
      <c r="A42" s="3" t="s">
        <v>15</v>
      </c>
      <c r="B42" s="4">
        <v>17</v>
      </c>
    </row>
    <row r="43" spans="1:2" x14ac:dyDescent="0.3">
      <c r="A43" s="3" t="s">
        <v>16</v>
      </c>
      <c r="B43" s="4">
        <v>7</v>
      </c>
    </row>
    <row r="44" spans="1:2" x14ac:dyDescent="0.3">
      <c r="A44" s="3" t="s">
        <v>17</v>
      </c>
      <c r="B44" s="4">
        <v>12</v>
      </c>
    </row>
    <row r="45" spans="1:2" x14ac:dyDescent="0.3">
      <c r="A45" s="3" t="s">
        <v>18</v>
      </c>
      <c r="B45" s="4" t="s">
        <v>84</v>
      </c>
    </row>
    <row r="46" spans="1:2" x14ac:dyDescent="0.3">
      <c r="A46" s="3" t="s">
        <v>19</v>
      </c>
      <c r="B46" s="4" t="s">
        <v>82</v>
      </c>
    </row>
    <row r="47" spans="1:2" x14ac:dyDescent="0.3">
      <c r="A47" s="3" t="s">
        <v>20</v>
      </c>
      <c r="B47" s="4">
        <v>23</v>
      </c>
    </row>
    <row r="48" spans="1:2" x14ac:dyDescent="0.3">
      <c r="A48" s="3" t="s">
        <v>21</v>
      </c>
      <c r="B48" s="4">
        <v>84</v>
      </c>
    </row>
    <row r="49" spans="1:2" x14ac:dyDescent="0.3">
      <c r="A49" s="3" t="s">
        <v>22</v>
      </c>
      <c r="B49" s="4">
        <v>24</v>
      </c>
    </row>
    <row r="50" spans="1:2" x14ac:dyDescent="0.3">
      <c r="A50" s="3" t="s">
        <v>23</v>
      </c>
      <c r="B50" s="4">
        <v>8300393</v>
      </c>
    </row>
    <row r="51" spans="1:2" x14ac:dyDescent="0.3">
      <c r="A51" s="3" t="s">
        <v>24</v>
      </c>
      <c r="B51" s="4" t="s">
        <v>40</v>
      </c>
    </row>
    <row r="52" spans="1:2" x14ac:dyDescent="0.3">
      <c r="A52" s="3"/>
    </row>
  </sheetData>
  <phoneticPr fontId="18" type="noConversion"/>
  <conditionalFormatting sqref="C1:C10">
    <cfRule type="duplicateValues" dxfId="12" priority="9"/>
  </conditionalFormatting>
  <conditionalFormatting sqref="J2:J12">
    <cfRule type="duplicateValues" dxfId="11" priority="8"/>
  </conditionalFormatting>
  <conditionalFormatting sqref="N2:N24">
    <cfRule type="duplicateValues" dxfId="10" priority="5"/>
    <cfRule type="duplicateValues" dxfId="9" priority="6"/>
  </conditionalFormatting>
  <conditionalFormatting sqref="L2:L6">
    <cfRule type="duplicateValues" dxfId="8" priority="10"/>
  </conditionalFormatting>
  <conditionalFormatting sqref="A30:B3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CSRKCOCF_CSV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Henry</cp:lastModifiedBy>
  <dcterms:created xsi:type="dcterms:W3CDTF">2026-01-19T07:58:26Z</dcterms:created>
  <dcterms:modified xsi:type="dcterms:W3CDTF">2026-01-22T07:09:06Z</dcterms:modified>
</cp:coreProperties>
</file>