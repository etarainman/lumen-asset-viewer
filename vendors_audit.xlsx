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 Henry\.gemini\antigravity\lumen-asset-viewer\"/>
    </mc:Choice>
  </mc:AlternateContent>
  <xr:revisionPtr revIDLastSave="0" documentId="13_ncr:1_{98B92034-0267-4449-BAD2-C4AF61394402}" xr6:coauthVersionLast="47" xr6:coauthVersionMax="47" xr10:uidLastSave="{00000000-0000-0000-0000-000000000000}"/>
  <bookViews>
    <workbookView xWindow="28680" yWindow="-120" windowWidth="29040" windowHeight="15720" activeTab="2" xr2:uid="{F3D7DDB6-F924-4E35-B795-654FE03BE011}"/>
  </bookViews>
  <sheets>
    <sheet name="vendors_audit" sheetId="1" r:id="rId1"/>
    <sheet name="equipment_audit" sheetId="2" r:id="rId2"/>
    <sheet name="equipment_audit - Remove" sheetId="4" r:id="rId3"/>
  </sheets>
  <definedNames>
    <definedName name="_xlnm._FilterDatabase" localSheetId="1" hidden="1">equipment_audit!$A$1:$J$37</definedName>
    <definedName name="_xlnm._FilterDatabase" localSheetId="2" hidden="1">'equipment_audit - Remove'!$A$1:$I$14</definedName>
    <definedName name="_xlnm._FilterDatabase" localSheetId="0" hidden="1">vendors_audit!$A$1:$D$17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</calcChain>
</file>

<file path=xl/sharedStrings.xml><?xml version="1.0" encoding="utf-8"?>
<sst xmlns="http://schemas.openxmlformats.org/spreadsheetml/2006/main" count="339" uniqueCount="114">
  <si>
    <t>id</t>
  </si>
  <si>
    <t>name</t>
  </si>
  <si>
    <t>color</t>
  </si>
  <si>
    <t>V_HUAWEI</t>
  </si>
  <si>
    <t>HUAWEI</t>
  </si>
  <si>
    <t>#64748b</t>
  </si>
  <si>
    <t>V_INFINERA</t>
  </si>
  <si>
    <t>INFINERA</t>
  </si>
  <si>
    <t>V_CIENA</t>
  </si>
  <si>
    <t>CIENA</t>
  </si>
  <si>
    <t>V_CISCO</t>
  </si>
  <si>
    <t>CISCO</t>
  </si>
  <si>
    <t>V_ADVA</t>
  </si>
  <si>
    <t>ADVA</t>
  </si>
  <si>
    <t>V_ABB</t>
  </si>
  <si>
    <t>ABB</t>
  </si>
  <si>
    <t>V_JUNIPER</t>
  </si>
  <si>
    <t>JUNIPER</t>
  </si>
  <si>
    <t>V_CANOGA</t>
  </si>
  <si>
    <t>CANOGA</t>
  </si>
  <si>
    <t>V_EATON</t>
  </si>
  <si>
    <t>EATON</t>
  </si>
  <si>
    <t>V_FUJITSU</t>
  </si>
  <si>
    <t>FUJITSU</t>
  </si>
  <si>
    <t>V_NOKIA</t>
  </si>
  <si>
    <t>NOKIA</t>
  </si>
  <si>
    <t>V_ALCATEL</t>
  </si>
  <si>
    <t>ALCATEL</t>
  </si>
  <si>
    <t>V_LUCENT</t>
  </si>
  <si>
    <t>LUCENT</t>
  </si>
  <si>
    <t>OSPOCP</t>
  </si>
  <si>
    <t>OSPFDP</t>
  </si>
  <si>
    <t>OSPOSX</t>
  </si>
  <si>
    <t>TBDOSX</t>
  </si>
  <si>
    <t>0004</t>
  </si>
  <si>
    <t>H101</t>
  </si>
  <si>
    <t>GWYOSX</t>
  </si>
  <si>
    <t>ISPR45</t>
  </si>
  <si>
    <t>0002</t>
  </si>
  <si>
    <t>VARIOUS</t>
  </si>
  <si>
    <t>GWYFDP</t>
  </si>
  <si>
    <t>TXCFDP</t>
  </si>
  <si>
    <t>TWRC</t>
  </si>
  <si>
    <t>Keep</t>
  </si>
  <si>
    <t>Keep?</t>
  </si>
  <si>
    <t>Remove</t>
  </si>
  <si>
    <t>V_UNIDENTIFIED</t>
  </si>
  <si>
    <t>Unidentified</t>
  </si>
  <si>
    <t>NETWORK</t>
  </si>
  <si>
    <t>#3b82f6</t>
  </si>
  <si>
    <t>EQ_TWRC_</t>
  </si>
  <si>
    <t>001</t>
  </si>
  <si>
    <t>EQ_TXCFDP_001</t>
  </si>
  <si>
    <t>EQ_GWYFDP_001</t>
  </si>
  <si>
    <t>FSP 3000RE</t>
  </si>
  <si>
    <t>EQ_ADVA_FSP_3000RE</t>
  </si>
  <si>
    <t>EX</t>
  </si>
  <si>
    <t>EQ_JUNIPER_EX</t>
  </si>
  <si>
    <t>AC-PNL</t>
  </si>
  <si>
    <t>EQ_EATON_AC_PNL</t>
  </si>
  <si>
    <t>BDFB</t>
  </si>
  <si>
    <t>EQ_ABB_BDFB</t>
  </si>
  <si>
    <t>FAP</t>
  </si>
  <si>
    <t>EQ_VARIOUS_FAP</t>
  </si>
  <si>
    <t>EQ_0002_230</t>
  </si>
  <si>
    <t>EQ_ISPR45_001</t>
  </si>
  <si>
    <t>FSP 3000R7</t>
  </si>
  <si>
    <t>EQ_ADVA_FSP_3000R7</t>
  </si>
  <si>
    <t>EQ_GWYOSX_001</t>
  </si>
  <si>
    <t>CP9101</t>
  </si>
  <si>
    <t>EQ_CANOGA_CP9101</t>
  </si>
  <si>
    <t>EQ_CISCO_7204</t>
  </si>
  <si>
    <t>EQ_CISCO_2511</t>
  </si>
  <si>
    <t>EQ_CISCO_1924</t>
  </si>
  <si>
    <t>EQ_CISCO_2811</t>
  </si>
  <si>
    <t>EQ_H101_</t>
  </si>
  <si>
    <t>EQ_INFINERA_INFINERA</t>
  </si>
  <si>
    <t>EQ_0004_</t>
  </si>
  <si>
    <t>DTN-X</t>
  </si>
  <si>
    <t>EQ_INFINERA_DTN_X</t>
  </si>
  <si>
    <t>OPTIX</t>
  </si>
  <si>
    <t>EQ_HUAWEI_OPTIX</t>
  </si>
  <si>
    <t>EQ_TBDOSX_001</t>
  </si>
  <si>
    <t>EQ_OSPOSX_001</t>
  </si>
  <si>
    <t>EQ_CIENA_6500</t>
  </si>
  <si>
    <t>EQ_OSPFDP_001</t>
  </si>
  <si>
    <t>EQ_OSPOCP_001</t>
  </si>
  <si>
    <t>GENERIC</t>
  </si>
  <si>
    <t>Unidentified Device</t>
  </si>
  <si>
    <t>EQ_GENERIC_UNIDENTIFIED_DEVICE</t>
  </si>
  <si>
    <t>OSP OCP Frame</t>
  </si>
  <si>
    <t>EQ_GENERIC_OSP_OCP_FRAME</t>
  </si>
  <si>
    <t>ISPR Frame</t>
  </si>
  <si>
    <t>EQ_GENERIC_ISPR_FRAME</t>
  </si>
  <si>
    <t>Fiber Dist Panel</t>
  </si>
  <si>
    <t>EQ_GENERIC_FIBER_DIST_PANEL</t>
  </si>
  <si>
    <t>Power Dist (BDFB)</t>
  </si>
  <si>
    <t>EQ_GENERIC_POWER_DIST__BDFB_</t>
  </si>
  <si>
    <t>AC Panel</t>
  </si>
  <si>
    <t>EQ_GENERIC_AC_PANEL</t>
  </si>
  <si>
    <t>Fiber Adapter Panel</t>
  </si>
  <si>
    <t>EQ_GENERIC_FIBER_ADAPTER_PANEL</t>
  </si>
  <si>
    <t>Optical Gateway (GWYOSX)</t>
  </si>
  <si>
    <t>EQ_GENERIC_OPTICAL_GATEWAY__GWYOSX_</t>
  </si>
  <si>
    <t>Optical Splitter (OSPOSX)</t>
  </si>
  <si>
    <t>EQ_GENERIC_OPTICAL_SPLITTER__OSPOSX_</t>
  </si>
  <si>
    <t>Action</t>
  </si>
  <si>
    <t>category</t>
  </si>
  <si>
    <t>powerWatts</t>
  </si>
  <si>
    <t>depth</t>
  </si>
  <si>
    <t>heightU</t>
  </si>
  <si>
    <t>manufacturer</t>
  </si>
  <si>
    <t>Generic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</si>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</sst>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F486-749E-42A1-95D9-19C281395B5D}">
  <dimension ref="A1:D16"/>
  <sheetViews>
    <sheetView workbookViewId="0">
      <selection activeCell="F21" sqref="F21"/>
    </sheetView>
  </sheetViews>
  <sheetFormatPr defaultRowHeight="14.4" x14ac:dyDescent="0.3"/>
  <cols>
    <col min="1" max="1" width="15.109375" bestFit="1" customWidth="1"/>
    <col min="2" max="2" width="11.33203125" customWidth="1"/>
    <col min="3" max="3" width="8" customWidth="1"/>
    <col min="4" max="4" width="8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44</v>
      </c>
    </row>
    <row r="2" spans="1:4" x14ac:dyDescent="0.3">
      <c r="A2" t="s">
        <v>46</v>
      </c>
      <c r="B2" t="s">
        <v>47</v>
      </c>
      <c r="C2" t="s">
        <v>5</v>
      </c>
      <c r="D2" t="s">
        <v>43</v>
      </c>
    </row>
    <row r="3" spans="1:4" x14ac:dyDescent="0.3">
      <c r="A3" t="s">
        <v>3</v>
      </c>
      <c r="B3" t="s">
        <v>4</v>
      </c>
      <c r="C3" t="s">
        <v>5</v>
      </c>
      <c r="D3" t="s">
        <v>43</v>
      </c>
    </row>
    <row r="4" spans="1:4" x14ac:dyDescent="0.3">
      <c r="A4" t="s">
        <v>6</v>
      </c>
      <c r="B4" t="s">
        <v>7</v>
      </c>
      <c r="C4" t="s">
        <v>5</v>
      </c>
      <c r="D4" t="s">
        <v>43</v>
      </c>
    </row>
    <row r="5" spans="1:4" x14ac:dyDescent="0.3">
      <c r="A5" t="s">
        <v>8</v>
      </c>
      <c r="B5" t="s">
        <v>9</v>
      </c>
      <c r="C5" t="s">
        <v>5</v>
      </c>
      <c r="D5" t="s">
        <v>43</v>
      </c>
    </row>
    <row r="6" spans="1:4" x14ac:dyDescent="0.3">
      <c r="A6" t="s">
        <v>10</v>
      </c>
      <c r="B6" t="s">
        <v>11</v>
      </c>
      <c r="C6" t="s">
        <v>5</v>
      </c>
      <c r="D6" t="s">
        <v>43</v>
      </c>
    </row>
    <row r="7" spans="1:4" x14ac:dyDescent="0.3">
      <c r="A7" t="s">
        <v>12</v>
      </c>
      <c r="B7" t="s">
        <v>13</v>
      </c>
      <c r="C7" t="s">
        <v>5</v>
      </c>
      <c r="D7" t="s">
        <v>43</v>
      </c>
    </row>
    <row r="8" spans="1:4" x14ac:dyDescent="0.3">
      <c r="A8" t="s">
        <v>14</v>
      </c>
      <c r="B8" t="s">
        <v>15</v>
      </c>
      <c r="C8" t="s">
        <v>5</v>
      </c>
      <c r="D8" t="s">
        <v>43</v>
      </c>
    </row>
    <row r="9" spans="1:4" x14ac:dyDescent="0.3">
      <c r="A9" t="s">
        <v>16</v>
      </c>
      <c r="B9" t="s">
        <v>17</v>
      </c>
      <c r="C9" t="s">
        <v>5</v>
      </c>
      <c r="D9" t="s">
        <v>43</v>
      </c>
    </row>
    <row r="10" spans="1:4" x14ac:dyDescent="0.3">
      <c r="A10" t="s">
        <v>18</v>
      </c>
      <c r="B10" t="s">
        <v>19</v>
      </c>
      <c r="C10" t="s">
        <v>5</v>
      </c>
      <c r="D10" t="s">
        <v>43</v>
      </c>
    </row>
    <row r="11" spans="1:4" x14ac:dyDescent="0.3">
      <c r="A11" t="s">
        <v>20</v>
      </c>
      <c r="B11" t="s">
        <v>21</v>
      </c>
      <c r="C11" t="s">
        <v>5</v>
      </c>
      <c r="D11" t="s">
        <v>43</v>
      </c>
    </row>
    <row r="12" spans="1:4" x14ac:dyDescent="0.3">
      <c r="A12" t="s">
        <v>22</v>
      </c>
      <c r="B12" t="s">
        <v>23</v>
      </c>
      <c r="C12" t="s">
        <v>5</v>
      </c>
      <c r="D12" t="s">
        <v>43</v>
      </c>
    </row>
    <row r="13" spans="1:4" x14ac:dyDescent="0.3">
      <c r="A13" t="s">
        <v>24</v>
      </c>
      <c r="B13" t="s">
        <v>25</v>
      </c>
      <c r="C13" t="s">
        <v>5</v>
      </c>
      <c r="D13" t="s">
        <v>43</v>
      </c>
    </row>
    <row r="14" spans="1:4" x14ac:dyDescent="0.3">
      <c r="A14" t="s">
        <v>26</v>
      </c>
      <c r="B14" t="s">
        <v>27</v>
      </c>
      <c r="C14" t="s">
        <v>5</v>
      </c>
      <c r="D14" t="s">
        <v>43</v>
      </c>
    </row>
    <row r="15" spans="1:4" x14ac:dyDescent="0.3">
      <c r="A15" t="s">
        <v>28</v>
      </c>
      <c r="B15" t="s">
        <v>29</v>
      </c>
      <c r="C15" t="s">
        <v>5</v>
      </c>
      <c r="D15" t="s">
        <v>43</v>
      </c>
    </row>
    <row r="16" spans="1:4" x14ac:dyDescent="0.3">
      <c r="B16" t="s">
        <v>112</v>
      </c>
      <c r="C16" t="s">
        <v>5</v>
      </c>
      <c r="D16" t="s">
        <v>113</v>
      </c>
    </row>
  </sheetData>
  <autoFilter ref="A1:D28" xr:uid="{0BD2F486-749E-42A1-95D9-19C281395B5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5472-8D0A-4671-9BA6-95F517D4BA5C}">
  <sheetPr filterMode="1"/>
  <dimension ref="A1:J37"/>
  <sheetViews>
    <sheetView workbookViewId="0">
      <selection activeCell="I2" sqref="I2"/>
    </sheetView>
  </sheetViews>
  <sheetFormatPr defaultRowHeight="14.4" x14ac:dyDescent="0.3"/>
  <cols>
    <col min="1" max="1" width="39.109375" bestFit="1" customWidth="1"/>
    <col min="2" max="2" width="24.44140625" bestFit="1" customWidth="1"/>
    <col min="3" max="3" width="12.77734375" bestFit="1" customWidth="1"/>
    <col min="5" max="5" width="8" bestFit="1" customWidth="1"/>
    <col min="6" max="6" width="13.33203125" bestFit="1" customWidth="1"/>
    <col min="7" max="7" width="7.6640625" bestFit="1" customWidth="1"/>
    <col min="8" max="8" width="10.44140625" bestFit="1" customWidth="1"/>
  </cols>
  <sheetData>
    <row r="1" spans="1:10" x14ac:dyDescent="0.3">
      <c r="A1" t="s">
        <v>0</v>
      </c>
      <c r="B1" t="s">
        <v>1</v>
      </c>
      <c r="C1" t="s">
        <v>111</v>
      </c>
      <c r="D1" t="s">
        <v>110</v>
      </c>
      <c r="E1" t="s">
        <v>109</v>
      </c>
      <c r="F1" t="s">
        <v>108</v>
      </c>
      <c r="G1" t="s">
        <v>2</v>
      </c>
      <c r="H1" t="s">
        <v>107</v>
      </c>
      <c r="I1" t="s">
        <v>106</v>
      </c>
    </row>
    <row r="2" spans="1:10" hidden="1" x14ac:dyDescent="0.3">
      <c r="A2" t="s">
        <v>105</v>
      </c>
      <c r="B2" t="s">
        <v>104</v>
      </c>
      <c r="C2" t="s">
        <v>87</v>
      </c>
      <c r="D2">
        <v>1</v>
      </c>
      <c r="E2">
        <v>8</v>
      </c>
      <c r="F2">
        <v>0</v>
      </c>
      <c r="G2" t="s">
        <v>49</v>
      </c>
      <c r="H2" t="s">
        <v>48</v>
      </c>
      <c r="J2" t="str">
        <f>VLOOKUP(C:C,vendors_audit!B:B,1,0)</f>
        <v>Generic</v>
      </c>
    </row>
    <row r="3" spans="1:10" hidden="1" x14ac:dyDescent="0.3">
      <c r="A3" t="s">
        <v>103</v>
      </c>
      <c r="B3" t="s">
        <v>102</v>
      </c>
      <c r="C3" t="s">
        <v>87</v>
      </c>
      <c r="D3">
        <v>1</v>
      </c>
      <c r="E3">
        <v>8</v>
      </c>
      <c r="F3">
        <v>0</v>
      </c>
      <c r="G3" t="s">
        <v>49</v>
      </c>
      <c r="H3" t="s">
        <v>48</v>
      </c>
      <c r="J3" t="str">
        <f>VLOOKUP(C:C,vendors_audit!B:B,1,0)</f>
        <v>Generic</v>
      </c>
    </row>
    <row r="4" spans="1:10" hidden="1" x14ac:dyDescent="0.3">
      <c r="A4" t="s">
        <v>101</v>
      </c>
      <c r="B4" t="s">
        <v>100</v>
      </c>
      <c r="C4" t="s">
        <v>87</v>
      </c>
      <c r="D4">
        <v>1</v>
      </c>
      <c r="E4">
        <v>8</v>
      </c>
      <c r="F4">
        <v>0</v>
      </c>
      <c r="G4" t="s">
        <v>49</v>
      </c>
      <c r="H4" t="s">
        <v>48</v>
      </c>
      <c r="J4" t="str">
        <f>VLOOKUP(C:C,vendors_audit!B:B,1,0)</f>
        <v>Generic</v>
      </c>
    </row>
    <row r="5" spans="1:10" hidden="1" x14ac:dyDescent="0.3">
      <c r="A5" t="s">
        <v>99</v>
      </c>
      <c r="B5" t="s">
        <v>98</v>
      </c>
      <c r="C5" t="s">
        <v>87</v>
      </c>
      <c r="D5">
        <v>1</v>
      </c>
      <c r="E5">
        <v>8</v>
      </c>
      <c r="F5">
        <v>0</v>
      </c>
      <c r="G5" t="s">
        <v>49</v>
      </c>
      <c r="H5" t="s">
        <v>48</v>
      </c>
      <c r="J5" t="str">
        <f>VLOOKUP(C:C,vendors_audit!B:B,1,0)</f>
        <v>Generic</v>
      </c>
    </row>
    <row r="6" spans="1:10" hidden="1" x14ac:dyDescent="0.3">
      <c r="A6" t="s">
        <v>97</v>
      </c>
      <c r="B6" t="s">
        <v>96</v>
      </c>
      <c r="C6" t="s">
        <v>87</v>
      </c>
      <c r="D6">
        <v>1</v>
      </c>
      <c r="E6">
        <v>8</v>
      </c>
      <c r="F6">
        <v>0</v>
      </c>
      <c r="G6" t="s">
        <v>49</v>
      </c>
      <c r="H6" t="s">
        <v>48</v>
      </c>
      <c r="J6" t="str">
        <f>VLOOKUP(C:C,vendors_audit!B:B,1,0)</f>
        <v>Generic</v>
      </c>
    </row>
    <row r="7" spans="1:10" hidden="1" x14ac:dyDescent="0.3">
      <c r="A7" t="s">
        <v>95</v>
      </c>
      <c r="B7" t="s">
        <v>94</v>
      </c>
      <c r="C7" t="s">
        <v>87</v>
      </c>
      <c r="D7">
        <v>1</v>
      </c>
      <c r="E7">
        <v>8</v>
      </c>
      <c r="F7">
        <v>0</v>
      </c>
      <c r="G7" t="s">
        <v>49</v>
      </c>
      <c r="H7" t="s">
        <v>48</v>
      </c>
      <c r="J7" t="str">
        <f>VLOOKUP(C:C,vendors_audit!B:B,1,0)</f>
        <v>Generic</v>
      </c>
    </row>
    <row r="8" spans="1:10" hidden="1" x14ac:dyDescent="0.3">
      <c r="A8" t="s">
        <v>93</v>
      </c>
      <c r="B8" t="s">
        <v>92</v>
      </c>
      <c r="C8" t="s">
        <v>87</v>
      </c>
      <c r="D8">
        <v>1</v>
      </c>
      <c r="E8">
        <v>8</v>
      </c>
      <c r="F8">
        <v>0</v>
      </c>
      <c r="G8" t="s">
        <v>49</v>
      </c>
      <c r="H8" t="s">
        <v>48</v>
      </c>
      <c r="J8" t="str">
        <f>VLOOKUP(C:C,vendors_audit!B:B,1,0)</f>
        <v>Generic</v>
      </c>
    </row>
    <row r="9" spans="1:10" hidden="1" x14ac:dyDescent="0.3">
      <c r="A9" t="s">
        <v>91</v>
      </c>
      <c r="B9" t="s">
        <v>90</v>
      </c>
      <c r="C9" t="s">
        <v>87</v>
      </c>
      <c r="D9">
        <v>1</v>
      </c>
      <c r="E9">
        <v>8</v>
      </c>
      <c r="F9">
        <v>0</v>
      </c>
      <c r="G9" t="s">
        <v>49</v>
      </c>
      <c r="H9" t="s">
        <v>48</v>
      </c>
      <c r="J9" t="str">
        <f>VLOOKUP(C:C,vendors_audit!B:B,1,0)</f>
        <v>Generic</v>
      </c>
    </row>
    <row r="10" spans="1:10" hidden="1" x14ac:dyDescent="0.3">
      <c r="A10" t="s">
        <v>89</v>
      </c>
      <c r="B10" t="s">
        <v>88</v>
      </c>
      <c r="C10" t="s">
        <v>87</v>
      </c>
      <c r="D10">
        <v>1</v>
      </c>
      <c r="E10">
        <v>8</v>
      </c>
      <c r="F10">
        <v>0</v>
      </c>
      <c r="G10" t="s">
        <v>49</v>
      </c>
      <c r="H10" t="s">
        <v>48</v>
      </c>
      <c r="J10" t="str">
        <f>VLOOKUP(C:C,vendors_audit!B:B,1,0)</f>
        <v>Generic</v>
      </c>
    </row>
    <row r="11" spans="1:10" x14ac:dyDescent="0.3">
      <c r="A11" t="s">
        <v>86</v>
      </c>
      <c r="B11" s="1" t="s">
        <v>51</v>
      </c>
      <c r="C11" t="s">
        <v>30</v>
      </c>
      <c r="D11">
        <v>6</v>
      </c>
      <c r="E11">
        <v>18</v>
      </c>
      <c r="F11">
        <v>0</v>
      </c>
      <c r="G11" t="s">
        <v>49</v>
      </c>
      <c r="H11" t="s">
        <v>48</v>
      </c>
      <c r="I11" t="s">
        <v>45</v>
      </c>
      <c r="J11" t="e">
        <f>VLOOKUP(C:C,vendors_audit!B:B,1,0)</f>
        <v>#N/A</v>
      </c>
    </row>
    <row r="12" spans="1:10" x14ac:dyDescent="0.3">
      <c r="A12" t="s">
        <v>85</v>
      </c>
      <c r="B12" s="1" t="s">
        <v>51</v>
      </c>
      <c r="C12" t="s">
        <v>31</v>
      </c>
      <c r="D12">
        <v>7</v>
      </c>
      <c r="E12">
        <v>10</v>
      </c>
      <c r="F12">
        <v>0</v>
      </c>
      <c r="G12" t="s">
        <v>49</v>
      </c>
      <c r="H12" t="s">
        <v>48</v>
      </c>
      <c r="I12" t="s">
        <v>45</v>
      </c>
      <c r="J12" t="e">
        <f>VLOOKUP(C:C,vendors_audit!B:B,1,0)</f>
        <v>#N/A</v>
      </c>
    </row>
    <row r="13" spans="1:10" hidden="1" x14ac:dyDescent="0.3">
      <c r="A13" t="s">
        <v>84</v>
      </c>
      <c r="B13">
        <v>6500</v>
      </c>
      <c r="C13" t="s">
        <v>9</v>
      </c>
      <c r="D13">
        <v>1</v>
      </c>
      <c r="E13">
        <v>8</v>
      </c>
      <c r="F13">
        <v>0</v>
      </c>
      <c r="G13" t="s">
        <v>49</v>
      </c>
      <c r="H13" t="s">
        <v>48</v>
      </c>
      <c r="J13" t="str">
        <f>VLOOKUP(C:C,vendors_audit!B:B,1,0)</f>
        <v>CIENA</v>
      </c>
    </row>
    <row r="14" spans="1:10" x14ac:dyDescent="0.3">
      <c r="A14" t="s">
        <v>83</v>
      </c>
      <c r="B14" s="1" t="s">
        <v>51</v>
      </c>
      <c r="C14" t="s">
        <v>32</v>
      </c>
      <c r="D14">
        <v>1</v>
      </c>
      <c r="E14">
        <v>8</v>
      </c>
      <c r="F14">
        <v>0</v>
      </c>
      <c r="G14" t="s">
        <v>49</v>
      </c>
      <c r="H14" t="s">
        <v>48</v>
      </c>
      <c r="I14" t="s">
        <v>45</v>
      </c>
      <c r="J14" t="e">
        <f>VLOOKUP(C:C,vendors_audit!B:B,1,0)</f>
        <v>#N/A</v>
      </c>
    </row>
    <row r="15" spans="1:10" x14ac:dyDescent="0.3">
      <c r="A15" t="s">
        <v>82</v>
      </c>
      <c r="B15" s="1" t="s">
        <v>51</v>
      </c>
      <c r="C15" t="s">
        <v>33</v>
      </c>
      <c r="D15">
        <v>7</v>
      </c>
      <c r="E15">
        <v>12</v>
      </c>
      <c r="F15">
        <v>0</v>
      </c>
      <c r="G15" t="s">
        <v>49</v>
      </c>
      <c r="H15" t="s">
        <v>48</v>
      </c>
      <c r="I15" t="s">
        <v>45</v>
      </c>
      <c r="J15" t="e">
        <f>VLOOKUP(C:C,vendors_audit!B:B,1,0)</f>
        <v>#N/A</v>
      </c>
    </row>
    <row r="16" spans="1:10" hidden="1" x14ac:dyDescent="0.3">
      <c r="A16" t="s">
        <v>81</v>
      </c>
      <c r="B16" t="s">
        <v>80</v>
      </c>
      <c r="C16" t="s">
        <v>4</v>
      </c>
      <c r="D16">
        <v>1</v>
      </c>
      <c r="E16">
        <v>12</v>
      </c>
      <c r="F16">
        <v>0</v>
      </c>
      <c r="G16" t="s">
        <v>49</v>
      </c>
      <c r="H16" t="s">
        <v>48</v>
      </c>
      <c r="J16" t="str">
        <f>VLOOKUP(C:C,vendors_audit!B:B,1,0)</f>
        <v>HUAWEI</v>
      </c>
    </row>
    <row r="17" spans="1:10" hidden="1" x14ac:dyDescent="0.3">
      <c r="A17" t="s">
        <v>79</v>
      </c>
      <c r="B17" t="s">
        <v>78</v>
      </c>
      <c r="C17" t="s">
        <v>7</v>
      </c>
      <c r="D17">
        <v>13</v>
      </c>
      <c r="E17">
        <v>9.3000000000000007</v>
      </c>
      <c r="F17">
        <v>0</v>
      </c>
      <c r="G17" t="s">
        <v>49</v>
      </c>
      <c r="H17" t="s">
        <v>48</v>
      </c>
      <c r="J17" t="str">
        <f>VLOOKUP(C:C,vendors_audit!B:B,1,0)</f>
        <v>INFINERA</v>
      </c>
    </row>
    <row r="18" spans="1:10" x14ac:dyDescent="0.3">
      <c r="A18" t="s">
        <v>77</v>
      </c>
      <c r="C18" s="1" t="s">
        <v>34</v>
      </c>
      <c r="D18">
        <v>4</v>
      </c>
      <c r="E18">
        <v>11</v>
      </c>
      <c r="F18">
        <v>0</v>
      </c>
      <c r="G18" t="s">
        <v>49</v>
      </c>
      <c r="H18" t="s">
        <v>48</v>
      </c>
      <c r="I18" t="s">
        <v>45</v>
      </c>
      <c r="J18" t="e">
        <f>VLOOKUP(C:C,vendors_audit!B:B,1,0)</f>
        <v>#N/A</v>
      </c>
    </row>
    <row r="19" spans="1:10" hidden="1" x14ac:dyDescent="0.3">
      <c r="A19" t="s">
        <v>76</v>
      </c>
      <c r="B19" t="s">
        <v>7</v>
      </c>
      <c r="C19" t="s">
        <v>7</v>
      </c>
      <c r="D19">
        <v>2</v>
      </c>
      <c r="E19">
        <v>11</v>
      </c>
      <c r="F19">
        <v>0</v>
      </c>
      <c r="G19" t="s">
        <v>49</v>
      </c>
      <c r="H19" t="s">
        <v>48</v>
      </c>
      <c r="J19" t="str">
        <f>VLOOKUP(C:C,vendors_audit!B:B,1,0)</f>
        <v>INFINERA</v>
      </c>
    </row>
    <row r="20" spans="1:10" x14ac:dyDescent="0.3">
      <c r="A20" t="s">
        <v>75</v>
      </c>
      <c r="C20" t="s">
        <v>35</v>
      </c>
      <c r="D20">
        <v>84</v>
      </c>
      <c r="E20">
        <v>24</v>
      </c>
      <c r="F20">
        <v>0</v>
      </c>
      <c r="G20" t="s">
        <v>49</v>
      </c>
      <c r="H20" t="s">
        <v>48</v>
      </c>
      <c r="I20" t="s">
        <v>45</v>
      </c>
      <c r="J20" t="e">
        <f>VLOOKUP(C:C,vendors_audit!B:B,1,0)</f>
        <v>#N/A</v>
      </c>
    </row>
    <row r="21" spans="1:10" hidden="1" x14ac:dyDescent="0.3">
      <c r="A21" t="s">
        <v>74</v>
      </c>
      <c r="B21">
        <v>2811</v>
      </c>
      <c r="C21" t="s">
        <v>11</v>
      </c>
      <c r="D21">
        <v>2</v>
      </c>
      <c r="E21">
        <v>16.3</v>
      </c>
      <c r="F21">
        <v>0</v>
      </c>
      <c r="G21" t="s">
        <v>49</v>
      </c>
      <c r="H21" t="s">
        <v>48</v>
      </c>
      <c r="J21" t="str">
        <f>VLOOKUP(C:C,vendors_audit!B:B,1,0)</f>
        <v>CISCO</v>
      </c>
    </row>
    <row r="22" spans="1:10" hidden="1" x14ac:dyDescent="0.3">
      <c r="A22" t="s">
        <v>73</v>
      </c>
      <c r="B22">
        <v>1924</v>
      </c>
      <c r="C22" t="s">
        <v>11</v>
      </c>
      <c r="D22">
        <v>2</v>
      </c>
      <c r="E22">
        <v>8</v>
      </c>
      <c r="F22">
        <v>0</v>
      </c>
      <c r="G22" t="s">
        <v>49</v>
      </c>
      <c r="H22" t="s">
        <v>48</v>
      </c>
      <c r="J22" t="str">
        <f>VLOOKUP(C:C,vendors_audit!B:B,1,0)</f>
        <v>CISCO</v>
      </c>
    </row>
    <row r="23" spans="1:10" hidden="1" x14ac:dyDescent="0.3">
      <c r="A23" t="s">
        <v>72</v>
      </c>
      <c r="B23">
        <v>2511</v>
      </c>
      <c r="C23" t="s">
        <v>11</v>
      </c>
      <c r="D23">
        <v>2</v>
      </c>
      <c r="E23">
        <v>11</v>
      </c>
      <c r="F23">
        <v>0</v>
      </c>
      <c r="G23" t="s">
        <v>49</v>
      </c>
      <c r="H23" t="s">
        <v>48</v>
      </c>
      <c r="J23" t="str">
        <f>VLOOKUP(C:C,vendors_audit!B:B,1,0)</f>
        <v>CISCO</v>
      </c>
    </row>
    <row r="24" spans="1:10" hidden="1" x14ac:dyDescent="0.3">
      <c r="A24" t="s">
        <v>71</v>
      </c>
      <c r="B24">
        <v>7204</v>
      </c>
      <c r="C24" t="s">
        <v>11</v>
      </c>
      <c r="D24">
        <v>5</v>
      </c>
      <c r="E24">
        <v>17</v>
      </c>
      <c r="F24">
        <v>0</v>
      </c>
      <c r="G24" t="s">
        <v>49</v>
      </c>
      <c r="H24" t="s">
        <v>48</v>
      </c>
      <c r="J24" t="str">
        <f>VLOOKUP(C:C,vendors_audit!B:B,1,0)</f>
        <v>CISCO</v>
      </c>
    </row>
    <row r="25" spans="1:10" hidden="1" x14ac:dyDescent="0.3">
      <c r="A25" t="s">
        <v>70</v>
      </c>
      <c r="B25" t="s">
        <v>69</v>
      </c>
      <c r="C25" t="s">
        <v>19</v>
      </c>
      <c r="D25">
        <v>9</v>
      </c>
      <c r="E25">
        <v>15</v>
      </c>
      <c r="F25">
        <v>0</v>
      </c>
      <c r="G25" t="s">
        <v>49</v>
      </c>
      <c r="H25" t="s">
        <v>48</v>
      </c>
      <c r="J25" t="str">
        <f>VLOOKUP(C:C,vendors_audit!B:B,1,0)</f>
        <v>CANOGA</v>
      </c>
    </row>
    <row r="26" spans="1:10" x14ac:dyDescent="0.3">
      <c r="A26" t="s">
        <v>68</v>
      </c>
      <c r="B26" s="1" t="s">
        <v>51</v>
      </c>
      <c r="C26" t="s">
        <v>36</v>
      </c>
      <c r="D26">
        <v>7</v>
      </c>
      <c r="E26">
        <v>18</v>
      </c>
      <c r="F26">
        <v>0</v>
      </c>
      <c r="G26" t="s">
        <v>49</v>
      </c>
      <c r="H26" t="s">
        <v>48</v>
      </c>
      <c r="I26" t="s">
        <v>45</v>
      </c>
      <c r="J26" t="e">
        <f>VLOOKUP(C:C,vendors_audit!B:B,1,0)</f>
        <v>#N/A</v>
      </c>
    </row>
    <row r="27" spans="1:10" hidden="1" x14ac:dyDescent="0.3">
      <c r="A27" t="s">
        <v>67</v>
      </c>
      <c r="B27" t="s">
        <v>66</v>
      </c>
      <c r="C27" t="s">
        <v>13</v>
      </c>
      <c r="D27">
        <v>3</v>
      </c>
      <c r="E27">
        <v>10.65</v>
      </c>
      <c r="F27">
        <v>0</v>
      </c>
      <c r="G27" t="s">
        <v>49</v>
      </c>
      <c r="H27" t="s">
        <v>48</v>
      </c>
      <c r="J27" t="str">
        <f>VLOOKUP(C:C,vendors_audit!B:B,1,0)</f>
        <v>ADVA</v>
      </c>
    </row>
    <row r="28" spans="1:10" x14ac:dyDescent="0.3">
      <c r="A28" t="s">
        <v>65</v>
      </c>
      <c r="B28" s="1" t="s">
        <v>51</v>
      </c>
      <c r="C28" t="s">
        <v>37</v>
      </c>
      <c r="D28">
        <v>2</v>
      </c>
      <c r="E28">
        <v>2</v>
      </c>
      <c r="F28">
        <v>0</v>
      </c>
      <c r="G28" t="s">
        <v>49</v>
      </c>
      <c r="H28" t="s">
        <v>48</v>
      </c>
      <c r="I28" t="s">
        <v>45</v>
      </c>
      <c r="J28" t="e">
        <f>VLOOKUP(C:C,vendors_audit!B:B,1,0)</f>
        <v>#N/A</v>
      </c>
    </row>
    <row r="29" spans="1:10" x14ac:dyDescent="0.3">
      <c r="A29" t="s">
        <v>64</v>
      </c>
      <c r="B29">
        <v>230</v>
      </c>
      <c r="C29" s="1" t="s">
        <v>38</v>
      </c>
      <c r="D29">
        <v>4</v>
      </c>
      <c r="E29">
        <v>11</v>
      </c>
      <c r="F29">
        <v>0</v>
      </c>
      <c r="G29" t="s">
        <v>49</v>
      </c>
      <c r="H29" t="s">
        <v>48</v>
      </c>
      <c r="I29" t="s">
        <v>45</v>
      </c>
      <c r="J29" t="e">
        <f>VLOOKUP(C:C,vendors_audit!B:B,1,0)</f>
        <v>#N/A</v>
      </c>
    </row>
    <row r="30" spans="1:10" x14ac:dyDescent="0.3">
      <c r="A30" t="s">
        <v>63</v>
      </c>
      <c r="B30" t="s">
        <v>62</v>
      </c>
      <c r="C30" t="s">
        <v>39</v>
      </c>
      <c r="D30">
        <v>1</v>
      </c>
      <c r="E30">
        <v>8</v>
      </c>
      <c r="F30">
        <v>0</v>
      </c>
      <c r="G30" t="s">
        <v>49</v>
      </c>
      <c r="H30" t="s">
        <v>48</v>
      </c>
      <c r="I30" t="s">
        <v>45</v>
      </c>
      <c r="J30" t="e">
        <f>VLOOKUP(C:C,vendors_audit!B:B,1,0)</f>
        <v>#N/A</v>
      </c>
    </row>
    <row r="31" spans="1:10" hidden="1" x14ac:dyDescent="0.3">
      <c r="A31" t="s">
        <v>61</v>
      </c>
      <c r="B31" t="s">
        <v>60</v>
      </c>
      <c r="C31" t="s">
        <v>15</v>
      </c>
      <c r="D31">
        <v>1</v>
      </c>
      <c r="E31">
        <v>8</v>
      </c>
      <c r="F31">
        <v>0</v>
      </c>
      <c r="G31" t="s">
        <v>49</v>
      </c>
      <c r="H31" t="s">
        <v>48</v>
      </c>
      <c r="J31" t="str">
        <f>VLOOKUP(C:C,vendors_audit!B:B,1,0)</f>
        <v>ABB</v>
      </c>
    </row>
    <row r="32" spans="1:10" hidden="1" x14ac:dyDescent="0.3">
      <c r="A32" t="s">
        <v>59</v>
      </c>
      <c r="B32" t="s">
        <v>58</v>
      </c>
      <c r="C32" t="s">
        <v>21</v>
      </c>
      <c r="D32">
        <v>1</v>
      </c>
      <c r="E32">
        <v>8</v>
      </c>
      <c r="F32">
        <v>0</v>
      </c>
      <c r="G32" t="s">
        <v>49</v>
      </c>
      <c r="H32" t="s">
        <v>48</v>
      </c>
      <c r="J32" t="str">
        <f>VLOOKUP(C:C,vendors_audit!B:B,1,0)</f>
        <v>EATON</v>
      </c>
    </row>
    <row r="33" spans="1:10" hidden="1" x14ac:dyDescent="0.3">
      <c r="A33" t="s">
        <v>57</v>
      </c>
      <c r="B33" t="s">
        <v>56</v>
      </c>
      <c r="C33" t="s">
        <v>17</v>
      </c>
      <c r="D33">
        <v>2</v>
      </c>
      <c r="E33">
        <v>16.399999999999999</v>
      </c>
      <c r="F33">
        <v>0</v>
      </c>
      <c r="G33" t="s">
        <v>49</v>
      </c>
      <c r="H33" t="s">
        <v>48</v>
      </c>
      <c r="J33" t="str">
        <f>VLOOKUP(C:C,vendors_audit!B:B,1,0)</f>
        <v>JUNIPER</v>
      </c>
    </row>
    <row r="34" spans="1:10" hidden="1" x14ac:dyDescent="0.3">
      <c r="A34" t="s">
        <v>55</v>
      </c>
      <c r="B34" t="s">
        <v>54</v>
      </c>
      <c r="C34" t="s">
        <v>13</v>
      </c>
      <c r="D34">
        <v>2</v>
      </c>
      <c r="E34">
        <v>12</v>
      </c>
      <c r="F34">
        <v>0</v>
      </c>
      <c r="G34" t="s">
        <v>49</v>
      </c>
      <c r="H34" t="s">
        <v>48</v>
      </c>
      <c r="J34" t="str">
        <f>VLOOKUP(C:C,vendors_audit!B:B,1,0)</f>
        <v>ADVA</v>
      </c>
    </row>
    <row r="35" spans="1:10" x14ac:dyDescent="0.3">
      <c r="A35" t="s">
        <v>53</v>
      </c>
      <c r="B35" s="1" t="s">
        <v>51</v>
      </c>
      <c r="C35" t="s">
        <v>40</v>
      </c>
      <c r="D35">
        <v>5</v>
      </c>
      <c r="E35">
        <v>10</v>
      </c>
      <c r="F35">
        <v>0</v>
      </c>
      <c r="G35" t="s">
        <v>49</v>
      </c>
      <c r="H35" t="s">
        <v>48</v>
      </c>
      <c r="I35" t="s">
        <v>45</v>
      </c>
      <c r="J35" t="e">
        <f>VLOOKUP(C:C,vendors_audit!B:B,1,0)</f>
        <v>#N/A</v>
      </c>
    </row>
    <row r="36" spans="1:10" x14ac:dyDescent="0.3">
      <c r="A36" t="s">
        <v>52</v>
      </c>
      <c r="B36" s="1" t="s">
        <v>51</v>
      </c>
      <c r="C36" t="s">
        <v>41</v>
      </c>
      <c r="D36">
        <v>1</v>
      </c>
      <c r="E36">
        <v>8</v>
      </c>
      <c r="F36">
        <v>0</v>
      </c>
      <c r="G36" t="s">
        <v>49</v>
      </c>
      <c r="H36" t="s">
        <v>48</v>
      </c>
      <c r="I36" t="s">
        <v>45</v>
      </c>
      <c r="J36" t="e">
        <f>VLOOKUP(C:C,vendors_audit!B:B,1,0)</f>
        <v>#N/A</v>
      </c>
    </row>
    <row r="37" spans="1:10" x14ac:dyDescent="0.3">
      <c r="A37" t="s">
        <v>50</v>
      </c>
      <c r="C37" t="s">
        <v>42</v>
      </c>
      <c r="D37">
        <v>22</v>
      </c>
      <c r="E37">
        <v>10</v>
      </c>
      <c r="F37">
        <v>0</v>
      </c>
      <c r="G37" t="s">
        <v>49</v>
      </c>
      <c r="H37" t="s">
        <v>48</v>
      </c>
      <c r="I37" t="s">
        <v>45</v>
      </c>
      <c r="J37" t="e">
        <f>VLOOKUP(C:C,vendors_audit!B:B,1,0)</f>
        <v>#N/A</v>
      </c>
    </row>
  </sheetData>
  <autoFilter ref="A1:J37" xr:uid="{DA6D5472-8D0A-4671-9BA6-95F517D4BA5C}">
    <filterColumn colId="9">
      <filters>
        <filter val="#N/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4FF0-6C88-4051-9C85-66EC02F72F0D}">
  <dimension ref="A1:I14"/>
  <sheetViews>
    <sheetView tabSelected="1" workbookViewId="0">
      <selection activeCell="D21" sqref="D21"/>
    </sheetView>
  </sheetViews>
  <sheetFormatPr defaultRowHeight="14.4" x14ac:dyDescent="0.3"/>
  <cols>
    <col min="1" max="1" width="39.109375" bestFit="1" customWidth="1"/>
    <col min="2" max="2" width="24.44140625" bestFit="1" customWidth="1"/>
    <col min="3" max="3" width="12.77734375" bestFit="1" customWidth="1"/>
    <col min="5" max="5" width="8" bestFit="1" customWidth="1"/>
    <col min="6" max="6" width="13.33203125" bestFit="1" customWidth="1"/>
    <col min="7" max="7" width="7.6640625" bestFit="1" customWidth="1"/>
    <col min="8" max="8" width="10.44140625" bestFit="1" customWidth="1"/>
  </cols>
  <sheetData>
    <row r="1" spans="1:9" x14ac:dyDescent="0.3">
      <c r="A1" t="s">
        <v>0</v>
      </c>
      <c r="B1" t="s">
        <v>1</v>
      </c>
      <c r="C1" t="s">
        <v>111</v>
      </c>
      <c r="D1" t="s">
        <v>110</v>
      </c>
      <c r="E1" t="s">
        <v>109</v>
      </c>
      <c r="F1" t="s">
        <v>108</v>
      </c>
      <c r="G1" t="s">
        <v>2</v>
      </c>
      <c r="H1" t="s">
        <v>107</v>
      </c>
      <c r="I1" t="s">
        <v>106</v>
      </c>
    </row>
    <row r="2" spans="1:9" x14ac:dyDescent="0.3">
      <c r="A2" t="s">
        <v>86</v>
      </c>
      <c r="B2" s="1" t="s">
        <v>51</v>
      </c>
      <c r="C2" t="s">
        <v>30</v>
      </c>
      <c r="D2">
        <v>6</v>
      </c>
      <c r="E2">
        <v>18</v>
      </c>
      <c r="F2">
        <v>0</v>
      </c>
      <c r="G2" t="s">
        <v>49</v>
      </c>
      <c r="H2" t="s">
        <v>48</v>
      </c>
      <c r="I2" t="s">
        <v>45</v>
      </c>
    </row>
    <row r="3" spans="1:9" x14ac:dyDescent="0.3">
      <c r="A3" t="s">
        <v>85</v>
      </c>
      <c r="B3" s="1" t="s">
        <v>51</v>
      </c>
      <c r="C3" t="s">
        <v>31</v>
      </c>
      <c r="D3">
        <v>7</v>
      </c>
      <c r="E3">
        <v>10</v>
      </c>
      <c r="F3">
        <v>0</v>
      </c>
      <c r="G3" t="s">
        <v>49</v>
      </c>
      <c r="H3" t="s">
        <v>48</v>
      </c>
      <c r="I3" t="s">
        <v>45</v>
      </c>
    </row>
    <row r="4" spans="1:9" x14ac:dyDescent="0.3">
      <c r="A4" t="s">
        <v>83</v>
      </c>
      <c r="B4" s="1" t="s">
        <v>51</v>
      </c>
      <c r="C4" t="s">
        <v>32</v>
      </c>
      <c r="D4">
        <v>1</v>
      </c>
      <c r="E4">
        <v>8</v>
      </c>
      <c r="F4">
        <v>0</v>
      </c>
      <c r="G4" t="s">
        <v>49</v>
      </c>
      <c r="H4" t="s">
        <v>48</v>
      </c>
      <c r="I4" t="s">
        <v>45</v>
      </c>
    </row>
    <row r="5" spans="1:9" x14ac:dyDescent="0.3">
      <c r="A5" t="s">
        <v>82</v>
      </c>
      <c r="B5" s="1" t="s">
        <v>51</v>
      </c>
      <c r="C5" t="s">
        <v>33</v>
      </c>
      <c r="D5">
        <v>7</v>
      </c>
      <c r="E5">
        <v>12</v>
      </c>
      <c r="F5">
        <v>0</v>
      </c>
      <c r="G5" t="s">
        <v>49</v>
      </c>
      <c r="H5" t="s">
        <v>48</v>
      </c>
      <c r="I5" t="s">
        <v>45</v>
      </c>
    </row>
    <row r="6" spans="1:9" x14ac:dyDescent="0.3">
      <c r="A6" t="s">
        <v>77</v>
      </c>
      <c r="C6" s="1" t="s">
        <v>34</v>
      </c>
      <c r="D6">
        <v>4</v>
      </c>
      <c r="E6">
        <v>11</v>
      </c>
      <c r="F6">
        <v>0</v>
      </c>
      <c r="G6" t="s">
        <v>49</v>
      </c>
      <c r="H6" t="s">
        <v>48</v>
      </c>
      <c r="I6" t="s">
        <v>45</v>
      </c>
    </row>
    <row r="7" spans="1:9" x14ac:dyDescent="0.3">
      <c r="A7" t="s">
        <v>75</v>
      </c>
      <c r="C7" t="s">
        <v>35</v>
      </c>
      <c r="D7">
        <v>84</v>
      </c>
      <c r="E7">
        <v>24</v>
      </c>
      <c r="F7">
        <v>0</v>
      </c>
      <c r="G7" t="s">
        <v>49</v>
      </c>
      <c r="H7" t="s">
        <v>48</v>
      </c>
      <c r="I7" t="s">
        <v>45</v>
      </c>
    </row>
    <row r="8" spans="1:9" x14ac:dyDescent="0.3">
      <c r="A8" t="s">
        <v>68</v>
      </c>
      <c r="B8" s="1" t="s">
        <v>51</v>
      </c>
      <c r="C8" t="s">
        <v>36</v>
      </c>
      <c r="D8">
        <v>7</v>
      </c>
      <c r="E8">
        <v>18</v>
      </c>
      <c r="F8">
        <v>0</v>
      </c>
      <c r="G8" t="s">
        <v>49</v>
      </c>
      <c r="H8" t="s">
        <v>48</v>
      </c>
      <c r="I8" t="s">
        <v>45</v>
      </c>
    </row>
    <row r="9" spans="1:9" x14ac:dyDescent="0.3">
      <c r="A9" t="s">
        <v>65</v>
      </c>
      <c r="B9" s="1" t="s">
        <v>51</v>
      </c>
      <c r="C9" t="s">
        <v>37</v>
      </c>
      <c r="D9">
        <v>2</v>
      </c>
      <c r="E9">
        <v>2</v>
      </c>
      <c r="F9">
        <v>0</v>
      </c>
      <c r="G9" t="s">
        <v>49</v>
      </c>
      <c r="H9" t="s">
        <v>48</v>
      </c>
      <c r="I9" t="s">
        <v>45</v>
      </c>
    </row>
    <row r="10" spans="1:9" x14ac:dyDescent="0.3">
      <c r="A10" t="s">
        <v>64</v>
      </c>
      <c r="B10">
        <v>230</v>
      </c>
      <c r="C10" s="1" t="s">
        <v>38</v>
      </c>
      <c r="D10">
        <v>4</v>
      </c>
      <c r="E10">
        <v>11</v>
      </c>
      <c r="F10">
        <v>0</v>
      </c>
      <c r="G10" t="s">
        <v>49</v>
      </c>
      <c r="H10" t="s">
        <v>48</v>
      </c>
      <c r="I10" t="s">
        <v>45</v>
      </c>
    </row>
    <row r="11" spans="1:9" x14ac:dyDescent="0.3">
      <c r="A11" t="s">
        <v>63</v>
      </c>
      <c r="B11" t="s">
        <v>62</v>
      </c>
      <c r="C11" t="s">
        <v>39</v>
      </c>
      <c r="D11">
        <v>1</v>
      </c>
      <c r="E11">
        <v>8</v>
      </c>
      <c r="F11">
        <v>0</v>
      </c>
      <c r="G11" t="s">
        <v>49</v>
      </c>
      <c r="H11" t="s">
        <v>48</v>
      </c>
      <c r="I11" t="s">
        <v>45</v>
      </c>
    </row>
    <row r="12" spans="1:9" x14ac:dyDescent="0.3">
      <c r="A12" t="s">
        <v>53</v>
      </c>
      <c r="B12" s="1" t="s">
        <v>51</v>
      </c>
      <c r="C12" t="s">
        <v>40</v>
      </c>
      <c r="D12">
        <v>5</v>
      </c>
      <c r="E12">
        <v>10</v>
      </c>
      <c r="F12">
        <v>0</v>
      </c>
      <c r="G12" t="s">
        <v>49</v>
      </c>
      <c r="H12" t="s">
        <v>48</v>
      </c>
      <c r="I12" t="s">
        <v>45</v>
      </c>
    </row>
    <row r="13" spans="1:9" x14ac:dyDescent="0.3">
      <c r="A13" t="s">
        <v>52</v>
      </c>
      <c r="B13" s="1" t="s">
        <v>51</v>
      </c>
      <c r="C13" t="s">
        <v>41</v>
      </c>
      <c r="D13">
        <v>1</v>
      </c>
      <c r="E13">
        <v>8</v>
      </c>
      <c r="F13">
        <v>0</v>
      </c>
      <c r="G13" t="s">
        <v>49</v>
      </c>
      <c r="H13" t="s">
        <v>48</v>
      </c>
      <c r="I13" t="s">
        <v>45</v>
      </c>
    </row>
    <row r="14" spans="1:9" x14ac:dyDescent="0.3">
      <c r="A14" t="s">
        <v>50</v>
      </c>
      <c r="C14" t="s">
        <v>42</v>
      </c>
      <c r="D14">
        <v>22</v>
      </c>
      <c r="E14">
        <v>10</v>
      </c>
      <c r="F14">
        <v>0</v>
      </c>
      <c r="G14" t="s">
        <v>49</v>
      </c>
      <c r="H14" t="s">
        <v>48</v>
      </c>
      <c r="I14" t="s">
        <v>45</v>
      </c>
    </row>
  </sheetData>
  <autoFilter ref="A1:I14" xr:uid="{DA6D5472-8D0A-4671-9BA6-95F517D4BA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vendors_audit</vt:lpstr>
      <vt:lpstr>equipment_audit</vt:lpstr>
      <vt:lpstr>equipment_audit - Remove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 Henry</cp:lastModifiedBy>
  <dcterms:created xsi:type="dcterms:W3CDTF">2026-03-05T07:10:50Z</dcterms:created>
  <dcterms:modified xsi:type="dcterms:W3CDTF">2026-03-05T07:24:31Z</dcterms:modified>
</cp:coreProperties>
</file>